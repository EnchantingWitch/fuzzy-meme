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-108" yWindow="-108" windowWidth="23256" windowHeight="12720"/>
  </bookViews>
  <sheets>
    <sheet name="Лист1" sheetId="1" r:id="rId1"/>
    <sheet name="исследование" sheetId="5" r:id="rId2"/>
    <sheet name="Лист2" sheetId="2" r:id="rId3"/>
    <sheet name="Лист3" sheetId="3" r:id="rId4"/>
    <sheet name="Лист4" sheetId="4" r:id="rId5"/>
  </sheets>
  <calcPr calcId="144525"/>
</workbook>
</file>

<file path=xl/calcChain.xml><?xml version="1.0" encoding="utf-8"?>
<calcChain xmlns="http://schemas.openxmlformats.org/spreadsheetml/2006/main">
  <c r="E19" i="4" l="1"/>
  <c r="D27" i="4" s="1"/>
  <c r="D26" i="4"/>
  <c r="D29" i="4" s="1"/>
  <c r="J20" i="4" l="1"/>
  <c r="D28" i="4"/>
  <c r="C18" i="3"/>
  <c r="D18" i="3"/>
  <c r="E18" i="3"/>
  <c r="F18" i="3"/>
  <c r="G18" i="3"/>
  <c r="B18" i="3"/>
  <c r="K5" i="3"/>
  <c r="K8" i="3" s="1"/>
  <c r="K10" i="3" s="1"/>
  <c r="D30" i="4" l="1"/>
  <c r="I21" i="4"/>
  <c r="D32" i="4" l="1"/>
  <c r="D31" i="4"/>
  <c r="D34" i="4"/>
</calcChain>
</file>

<file path=xl/sharedStrings.xml><?xml version="1.0" encoding="utf-8"?>
<sst xmlns="http://schemas.openxmlformats.org/spreadsheetml/2006/main" count="186" uniqueCount="100">
  <si>
    <t>очень низкий</t>
  </si>
  <si>
    <t>низкий</t>
  </si>
  <si>
    <t>средний</t>
  </si>
  <si>
    <t>высокий</t>
  </si>
  <si>
    <t>очень высокий</t>
  </si>
  <si>
    <t>критический</t>
  </si>
  <si>
    <t xml:space="preserve">№ </t>
  </si>
  <si>
    <r>
      <t xml:space="preserve">Множитель трудоёмкости, </t>
    </r>
    <r>
      <rPr>
        <b/>
        <i/>
        <sz val="11"/>
        <color rgb="FF000000"/>
        <rFont val="Times New Roman"/>
        <family val="1"/>
        <charset val="204"/>
      </rPr>
      <t>EM</t>
    </r>
    <r>
      <rPr>
        <b/>
        <i/>
        <vertAlign val="subscript"/>
        <sz val="11"/>
        <color rgb="FF000000"/>
        <rFont val="Times New Roman"/>
        <family val="1"/>
        <charset val="204"/>
      </rPr>
      <t>i</t>
    </r>
    <r>
      <rPr>
        <sz val="11"/>
        <color rgb="FF000000"/>
        <rFont val="Times New Roman"/>
        <family val="1"/>
        <charset val="204"/>
      </rPr>
      <t xml:space="preserve"> </t>
    </r>
  </si>
  <si>
    <r>
      <t>Оценка уровня множителя трудоемкости</t>
    </r>
    <r>
      <rPr>
        <sz val="11"/>
        <color rgb="FF000000"/>
        <rFont val="Times New Roman"/>
        <family val="1"/>
        <charset val="204"/>
      </rPr>
      <t xml:space="preserve"> </t>
    </r>
  </si>
  <si>
    <t xml:space="preserve">ExtraLow </t>
  </si>
  <si>
    <t xml:space="preserve">VeryLow </t>
  </si>
  <si>
    <t xml:space="preserve">Low </t>
  </si>
  <si>
    <t xml:space="preserve">Nominal </t>
  </si>
  <si>
    <t>High</t>
  </si>
  <si>
    <t xml:space="preserve"> VeryHigh </t>
  </si>
  <si>
    <t xml:space="preserve">ExtraHigh </t>
  </si>
  <si>
    <r>
      <t>PERS</t>
    </r>
    <r>
      <rPr>
        <sz val="11"/>
        <color rgb="FF000000"/>
        <rFont val="Times New Roman"/>
        <family val="1"/>
        <charset val="204"/>
      </rPr>
      <t xml:space="preserve"> </t>
    </r>
  </si>
  <si>
    <r>
      <t>PREX</t>
    </r>
    <r>
      <rPr>
        <sz val="11"/>
        <color rgb="FF000000"/>
        <rFont val="Times New Roman"/>
        <family val="1"/>
        <charset val="204"/>
      </rPr>
      <t xml:space="preserve"> </t>
    </r>
  </si>
  <si>
    <r>
      <t>RCPX</t>
    </r>
    <r>
      <rPr>
        <sz val="11"/>
        <color rgb="FF000000"/>
        <rFont val="Times New Roman"/>
        <family val="1"/>
        <charset val="204"/>
      </rPr>
      <t xml:space="preserve"> </t>
    </r>
  </si>
  <si>
    <r>
      <t>RUSE</t>
    </r>
    <r>
      <rPr>
        <sz val="11"/>
        <color rgb="FF000000"/>
        <rFont val="Times New Roman"/>
        <family val="1"/>
        <charset val="204"/>
      </rPr>
      <t xml:space="preserve"> </t>
    </r>
  </si>
  <si>
    <t xml:space="preserve">n/a </t>
  </si>
  <si>
    <r>
      <t>PDIF</t>
    </r>
    <r>
      <rPr>
        <sz val="11"/>
        <color rgb="FF000000"/>
        <rFont val="Times New Roman"/>
        <family val="1"/>
        <charset val="204"/>
      </rPr>
      <t xml:space="preserve"> </t>
    </r>
  </si>
  <si>
    <r>
      <t>FCIL</t>
    </r>
    <r>
      <rPr>
        <sz val="11"/>
        <color rgb="FF000000"/>
        <rFont val="Times New Roman"/>
        <family val="1"/>
        <charset val="204"/>
      </rPr>
      <t xml:space="preserve"> </t>
    </r>
  </si>
  <si>
    <r>
      <t>SCED</t>
    </r>
    <r>
      <rPr>
        <sz val="11"/>
        <color rgb="FF000000"/>
        <rFont val="Times New Roman"/>
        <family val="1"/>
        <charset val="204"/>
      </rPr>
      <t xml:space="preserve"> </t>
    </r>
  </si>
  <si>
    <t xml:space="preserve">Фактор масштаба, </t>
  </si>
  <si>
    <r>
      <t>SF</t>
    </r>
    <r>
      <rPr>
        <b/>
        <i/>
        <sz val="6.5"/>
        <color rgb="FF000000"/>
        <rFont val="Times New Roman"/>
        <family val="1"/>
        <charset val="204"/>
      </rPr>
      <t xml:space="preserve">i </t>
    </r>
  </si>
  <si>
    <t xml:space="preserve">Оценка уровня фактора </t>
  </si>
  <si>
    <t xml:space="preserve">High </t>
  </si>
  <si>
    <t xml:space="preserve">VeryHigh </t>
  </si>
  <si>
    <t xml:space="preserve">1. PREC  </t>
  </si>
  <si>
    <t xml:space="preserve">2. FLEX  </t>
  </si>
  <si>
    <t xml:space="preserve">3. RESL  </t>
  </si>
  <si>
    <t xml:space="preserve">4. TEAM  </t>
  </si>
  <si>
    <t xml:space="preserve">5. PMAT  </t>
  </si>
  <si>
    <t>критический низкий</t>
  </si>
  <si>
    <t>критически высокий</t>
  </si>
  <si>
    <t>eaf</t>
  </si>
  <si>
    <t>a</t>
  </si>
  <si>
    <t>sf</t>
  </si>
  <si>
    <t>b</t>
  </si>
  <si>
    <t xml:space="preserve">e </t>
  </si>
  <si>
    <t>pm</t>
  </si>
  <si>
    <t>tm</t>
  </si>
  <si>
    <t xml:space="preserve">ACAP </t>
  </si>
  <si>
    <t xml:space="preserve">Analyst Capability </t>
  </si>
  <si>
    <t xml:space="preserve">AEXP </t>
  </si>
  <si>
    <t xml:space="preserve">Applications Experience </t>
  </si>
  <si>
    <t xml:space="preserve">PCAP </t>
  </si>
  <si>
    <t xml:space="preserve">Programmer Capability </t>
  </si>
  <si>
    <t xml:space="preserve">PCON </t>
  </si>
  <si>
    <t xml:space="preserve">Personnel Continuity </t>
  </si>
  <si>
    <t xml:space="preserve">PEXP </t>
  </si>
  <si>
    <t xml:space="preserve">Platform Experience </t>
  </si>
  <si>
    <t xml:space="preserve">LTEX </t>
  </si>
  <si>
    <t xml:space="preserve">Language and Tool Experience </t>
  </si>
  <si>
    <t xml:space="preserve">RELY </t>
  </si>
  <si>
    <t xml:space="preserve">Required Software Reliability </t>
  </si>
  <si>
    <t xml:space="preserve">DATA </t>
  </si>
  <si>
    <t xml:space="preserve">Database Size </t>
  </si>
  <si>
    <t xml:space="preserve">CPLX </t>
  </si>
  <si>
    <t xml:space="preserve">Software Product Complexity </t>
  </si>
  <si>
    <t xml:space="preserve">RUSE </t>
  </si>
  <si>
    <t xml:space="preserve">Required Reusability </t>
  </si>
  <si>
    <t xml:space="preserve">DOCU </t>
  </si>
  <si>
    <t xml:space="preserve">Documentation Match to LifeCycle Needs </t>
  </si>
  <si>
    <t xml:space="preserve">TIME </t>
  </si>
  <si>
    <t xml:space="preserve">Execution Time Constraint </t>
  </si>
  <si>
    <t xml:space="preserve">STOR </t>
  </si>
  <si>
    <t xml:space="preserve">Main Storage Constraint </t>
  </si>
  <si>
    <t xml:space="preserve">PVOL </t>
  </si>
  <si>
    <t xml:space="preserve">Platform Volatility </t>
  </si>
  <si>
    <t xml:space="preserve">TOOL </t>
  </si>
  <si>
    <t xml:space="preserve">Use of Software Tools </t>
  </si>
  <si>
    <t xml:space="preserve">SITE </t>
  </si>
  <si>
    <t xml:space="preserve">Multisite Development </t>
  </si>
  <si>
    <t xml:space="preserve">SCED </t>
  </si>
  <si>
    <t xml:space="preserve">Required Development Schedule </t>
  </si>
  <si>
    <t xml:space="preserve"> </t>
  </si>
  <si>
    <t>e</t>
  </si>
  <si>
    <t>eaf=</t>
  </si>
  <si>
    <t>pmns</t>
  </si>
  <si>
    <t xml:space="preserve">eaf </t>
  </si>
  <si>
    <t>size</t>
  </si>
  <si>
    <t>size^e</t>
  </si>
  <si>
    <t>TM</t>
  </si>
  <si>
    <t>PM</t>
  </si>
  <si>
    <t>Basic</t>
  </si>
  <si>
    <t>Intermrdiate</t>
  </si>
  <si>
    <t>Early Design</t>
  </si>
  <si>
    <t>Post Architecture</t>
  </si>
  <si>
    <t>Задание 3.2</t>
  </si>
  <si>
    <t>Ниже представлены графики влияния size на TM и PM. Для графиков COCOMO можно заметить, что прирост TM уменьшается с увеличением size, а прирост PM увеличивается с увеличением size. Для графиков COCOMO II можно заметить, что прирост TM и прирост PM увеличивается с увеличением size.</t>
  </si>
  <si>
    <t>Задание 3.3</t>
  </si>
  <si>
    <t>сложный / встроенный</t>
  </si>
  <si>
    <t>средний / полунезависимый</t>
  </si>
  <si>
    <t>простой / распространенный</t>
  </si>
  <si>
    <t>простой</t>
  </si>
  <si>
    <t>сложный</t>
  </si>
  <si>
    <t xml:space="preserve">При фиксированном size наблюдается одинаковая зависимость для TM и соотвествующего PM определенной сложности проекта моделей/ </t>
  </si>
  <si>
    <t>Также, видно, что при COCOMO II есть сильная зависимость со сложностью проекта. То есть СOCOMO расчитывает показатели несколько грубо, поэтому для простых проектов PM и TM выше чем для COCOMO II, однако для сложных проектов наоборот ввиду больше количества параметров (повышается точность сложности проекта)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</si>
</sst>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b/>
      <sz val="11"/>
      <color rgb="FF000000"/>
      <name val="Times New Roman"/>
      <family val="1"/>
      <charset val="204"/>
    </font>
    <font>
      <b/>
      <i/>
      <sz val="11"/>
      <color rgb="FF000000"/>
      <name val="Times New Roman"/>
      <family val="1"/>
      <charset val="204"/>
    </font>
    <font>
      <b/>
      <i/>
      <vertAlign val="subscript"/>
      <sz val="11"/>
      <color rgb="FF000000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i/>
      <sz val="11"/>
      <color rgb="FF000000"/>
      <name val="Times New Roman"/>
      <family val="1"/>
      <charset val="204"/>
    </font>
    <font>
      <b/>
      <sz val="10"/>
      <color rgb="FF000000"/>
      <name val="Times New Roman"/>
      <family val="1"/>
      <charset val="204"/>
    </font>
    <font>
      <b/>
      <i/>
      <sz val="10"/>
      <color rgb="FF000000"/>
      <name val="Times New Roman"/>
      <family val="1"/>
      <charset val="204"/>
    </font>
    <font>
      <b/>
      <i/>
      <sz val="6.5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rgb="FFA0A0A0"/>
      </left>
      <right style="medium">
        <color rgb="FFA0A0A0"/>
      </right>
      <top style="medium">
        <color rgb="FFA0A0A0"/>
      </top>
      <bottom style="medium">
        <color rgb="FFA0A0A0"/>
      </bottom>
      <diagonal/>
    </border>
    <border>
      <left/>
      <right style="medium">
        <color rgb="FFA0A0A0"/>
      </right>
      <top style="medium">
        <color rgb="FFA0A0A0"/>
      </top>
      <bottom style="medium">
        <color rgb="FFA0A0A0"/>
      </bottom>
      <diagonal/>
    </border>
    <border>
      <left style="medium">
        <color rgb="FFA0A0A0"/>
      </left>
      <right style="medium">
        <color rgb="FFA0A0A0"/>
      </right>
      <top/>
      <bottom style="medium">
        <color rgb="FFA0A0A0"/>
      </bottom>
      <diagonal/>
    </border>
    <border>
      <left/>
      <right style="medium">
        <color rgb="FFA0A0A0"/>
      </right>
      <top/>
      <bottom style="medium">
        <color rgb="FFA0A0A0"/>
      </bottom>
      <diagonal/>
    </border>
    <border>
      <left/>
      <right/>
      <top/>
      <bottom style="medium">
        <color rgb="FFA0A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justify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justify" vertical="center" wrapText="1"/>
    </xf>
    <xf numFmtId="0" fontId="1" fillId="2" borderId="6" xfId="0" applyFont="1" applyFill="1" applyBorder="1" applyAlignment="1">
      <alignment horizontal="left" vertical="center" wrapText="1"/>
    </xf>
    <xf numFmtId="0" fontId="3" fillId="2" borderId="6" xfId="0" applyFont="1" applyFill="1" applyBorder="1" applyAlignment="1">
      <alignment horizontal="left" vertical="center" wrapText="1" indent="1"/>
    </xf>
    <xf numFmtId="0" fontId="3" fillId="2" borderId="6" xfId="0" applyFont="1" applyFill="1" applyBorder="1" applyAlignment="1">
      <alignment horizontal="left" vertical="center" wrapText="1"/>
    </xf>
    <xf numFmtId="0" fontId="3" fillId="2" borderId="6" xfId="0" applyFont="1" applyFill="1" applyBorder="1" applyAlignment="1">
      <alignment horizontal="justify" vertical="center" wrapText="1"/>
    </xf>
    <xf numFmtId="0" fontId="6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justify" vertical="center" wrapText="1"/>
    </xf>
    <xf numFmtId="0" fontId="8" fillId="0" borderId="6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9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left" vertical="center" wrapText="1" indent="1"/>
    </xf>
    <xf numFmtId="0" fontId="8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justify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0" fillId="0" borderId="6" xfId="0" applyBorder="1"/>
    <xf numFmtId="0" fontId="0" fillId="0" borderId="6" xfId="0" applyBorder="1" applyAlignment="1">
      <alignment wrapText="1"/>
    </xf>
    <xf numFmtId="0" fontId="0" fillId="0" borderId="8" xfId="0" applyBorder="1"/>
    <xf numFmtId="0" fontId="0" fillId="0" borderId="7" xfId="0" applyBorder="1" applyAlignment="1">
      <alignment wrapText="1"/>
    </xf>
    <xf numFmtId="0" fontId="6" fillId="0" borderId="7" xfId="0" applyFont="1" applyBorder="1" applyAlignment="1">
      <alignment horizontal="center" vertical="center" wrapText="1"/>
    </xf>
    <xf numFmtId="0" fontId="11" fillId="4" borderId="6" xfId="0" applyFont="1" applyFill="1" applyBorder="1" applyAlignment="1">
      <alignment wrapText="1"/>
    </xf>
    <xf numFmtId="0" fontId="11" fillId="5" borderId="6" xfId="0" applyFont="1" applyFill="1" applyBorder="1" applyAlignment="1">
      <alignment wrapText="1"/>
    </xf>
    <xf numFmtId="0" fontId="0" fillId="0" borderId="0" xfId="0" applyAlignment="1">
      <alignment wrapText="1"/>
    </xf>
    <xf numFmtId="0" fontId="11" fillId="3" borderId="6" xfId="0" applyFont="1" applyFill="1" applyBorder="1" applyAlignment="1">
      <alignment wrapText="1"/>
    </xf>
    <xf numFmtId="0" fontId="0" fillId="0" borderId="0" xfId="0" applyAlignment="1">
      <alignment horizontal="left" wrapText="1"/>
    </xf>
    <xf numFmtId="0" fontId="0" fillId="3" borderId="6" xfId="0" applyFill="1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4" borderId="6" xfId="0" applyFill="1" applyBorder="1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5" borderId="6" xfId="0" applyFill="1" applyBorder="1" applyAlignment="1">
      <alignment horizontal="center"/>
    </xf>
    <xf numFmtId="0" fontId="3" fillId="2" borderId="6" xfId="0" applyFont="1" applyFill="1" applyBorder="1" applyAlignment="1">
      <alignment horizontal="justify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left" vertical="center" wrapText="1" indent="1"/>
    </xf>
    <xf numFmtId="0" fontId="8" fillId="0" borderId="6" xfId="0" applyFont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Влияние </a:t>
            </a:r>
            <a:r>
              <a:rPr lang="en-US"/>
              <a:t>size</a:t>
            </a:r>
            <a:r>
              <a:rPr lang="ru-RU"/>
              <a:t> на</a:t>
            </a:r>
            <a:r>
              <a:rPr lang="en-US"/>
              <a:t> TM: COCOMO </a:t>
            </a:r>
            <a:endParaRPr lang="ru-RU"/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Basic распространенный</c:v>
          </c:tx>
          <c:marker>
            <c:symbol val="none"/>
          </c:marker>
          <c:cat>
            <c:numRef>
              <c:f>исследование!$A$3:$A$12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исследование!$B$3:$B$12</c:f>
              <c:numCache>
                <c:formatCode>General</c:formatCode>
                <c:ptCount val="10"/>
                <c:pt idx="0">
                  <c:v>8.74</c:v>
                </c:pt>
                <c:pt idx="1">
                  <c:v>11.52</c:v>
                </c:pt>
                <c:pt idx="2">
                  <c:v>13.55</c:v>
                </c:pt>
                <c:pt idx="3">
                  <c:v>15.19</c:v>
                </c:pt>
                <c:pt idx="4">
                  <c:v>16.61</c:v>
                </c:pt>
                <c:pt idx="5">
                  <c:v>17.86</c:v>
                </c:pt>
                <c:pt idx="6">
                  <c:v>18.989999999999998</c:v>
                </c:pt>
                <c:pt idx="7">
                  <c:v>20.03</c:v>
                </c:pt>
                <c:pt idx="8">
                  <c:v>21</c:v>
                </c:pt>
                <c:pt idx="9">
                  <c:v>21.9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6C-476D-B62D-B8E32AE57846}"/>
            </c:ext>
          </c:extLst>
        </c:ser>
        <c:ser>
          <c:idx val="1"/>
          <c:order val="1"/>
          <c:tx>
            <c:v>Intermediate распространенный</c:v>
          </c:tx>
          <c:marker>
            <c:symbol val="none"/>
          </c:marker>
          <c:val>
            <c:numRef>
              <c:f>исследование!$D$3:$D$12</c:f>
              <c:numCache>
                <c:formatCode>General</c:formatCode>
                <c:ptCount val="10"/>
                <c:pt idx="0">
                  <c:v>9.75</c:v>
                </c:pt>
                <c:pt idx="1">
                  <c:v>12.85</c:v>
                </c:pt>
                <c:pt idx="2">
                  <c:v>15.11</c:v>
                </c:pt>
                <c:pt idx="3">
                  <c:v>16.95</c:v>
                </c:pt>
                <c:pt idx="4">
                  <c:v>18.53</c:v>
                </c:pt>
                <c:pt idx="5">
                  <c:v>19.920000000000002</c:v>
                </c:pt>
                <c:pt idx="6">
                  <c:v>21.19</c:v>
                </c:pt>
                <c:pt idx="7">
                  <c:v>22.35</c:v>
                </c:pt>
                <c:pt idx="8">
                  <c:v>23.42</c:v>
                </c:pt>
                <c:pt idx="9">
                  <c:v>24.43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6C-476D-B62D-B8E32AE57846}"/>
            </c:ext>
          </c:extLst>
        </c:ser>
        <c:ser>
          <c:idx val="2"/>
          <c:order val="2"/>
          <c:tx>
            <c:v>Basic полунезависимый</c:v>
          </c:tx>
          <c:marker>
            <c:symbol val="none"/>
          </c:marker>
          <c:val>
            <c:numRef>
              <c:f>исследование!$B$16:$B$25</c:f>
              <c:numCache>
                <c:formatCode>General</c:formatCode>
                <c:ptCount val="10"/>
                <c:pt idx="0">
                  <c:v>9.06</c:v>
                </c:pt>
                <c:pt idx="1">
                  <c:v>11.88</c:v>
                </c:pt>
                <c:pt idx="2">
                  <c:v>13.93</c:v>
                </c:pt>
                <c:pt idx="3">
                  <c:v>15.59</c:v>
                </c:pt>
                <c:pt idx="4">
                  <c:v>17.02</c:v>
                </c:pt>
                <c:pt idx="5">
                  <c:v>18.28</c:v>
                </c:pt>
                <c:pt idx="6">
                  <c:v>19.420000000000002</c:v>
                </c:pt>
                <c:pt idx="7">
                  <c:v>20.46</c:v>
                </c:pt>
                <c:pt idx="8">
                  <c:v>21.43</c:v>
                </c:pt>
                <c:pt idx="9">
                  <c:v>22.33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A6C-476D-B62D-B8E32AE57846}"/>
            </c:ext>
          </c:extLst>
        </c:ser>
        <c:ser>
          <c:idx val="3"/>
          <c:order val="3"/>
          <c:tx>
            <c:v>Basic независимый</c:v>
          </c:tx>
          <c:marker>
            <c:symbol val="none"/>
          </c:marker>
          <c:val>
            <c:numRef>
              <c:f>исследование!$B$29:$B$38</c:f>
              <c:numCache>
                <c:formatCode>General</c:formatCode>
                <c:ptCount val="10"/>
                <c:pt idx="0">
                  <c:v>9.1199999999999992</c:v>
                </c:pt>
                <c:pt idx="1">
                  <c:v>11.9</c:v>
                </c:pt>
                <c:pt idx="2">
                  <c:v>13.91</c:v>
                </c:pt>
                <c:pt idx="3">
                  <c:v>15.53</c:v>
                </c:pt>
                <c:pt idx="4">
                  <c:v>16.920000000000002</c:v>
                </c:pt>
                <c:pt idx="5">
                  <c:v>18.149999999999999</c:v>
                </c:pt>
                <c:pt idx="6">
                  <c:v>19.25</c:v>
                </c:pt>
                <c:pt idx="7">
                  <c:v>20.260000000000002</c:v>
                </c:pt>
                <c:pt idx="8">
                  <c:v>21.2</c:v>
                </c:pt>
                <c:pt idx="9">
                  <c:v>22.08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A6C-476D-B62D-B8E32AE57846}"/>
            </c:ext>
          </c:extLst>
        </c:ser>
        <c:ser>
          <c:idx val="4"/>
          <c:order val="4"/>
          <c:tx>
            <c:v>Intermediate полунезависимый</c:v>
          </c:tx>
          <c:marker>
            <c:symbol val="none"/>
          </c:marker>
          <c:val>
            <c:numRef>
              <c:f>исследование!$D$16:$D$25</c:f>
              <c:numCache>
                <c:formatCode>General</c:formatCode>
                <c:ptCount val="10"/>
                <c:pt idx="0">
                  <c:v>9.06</c:v>
                </c:pt>
                <c:pt idx="1">
                  <c:v>11.88</c:v>
                </c:pt>
                <c:pt idx="2">
                  <c:v>13.93</c:v>
                </c:pt>
                <c:pt idx="3">
                  <c:v>15.59</c:v>
                </c:pt>
                <c:pt idx="4">
                  <c:v>17.02</c:v>
                </c:pt>
                <c:pt idx="5">
                  <c:v>18.28</c:v>
                </c:pt>
                <c:pt idx="6">
                  <c:v>19.420000000000002</c:v>
                </c:pt>
                <c:pt idx="7">
                  <c:v>20.46</c:v>
                </c:pt>
                <c:pt idx="8">
                  <c:v>21.43</c:v>
                </c:pt>
                <c:pt idx="9">
                  <c:v>22.33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4A6C-476D-B62D-B8E32AE57846}"/>
            </c:ext>
          </c:extLst>
        </c:ser>
        <c:ser>
          <c:idx val="5"/>
          <c:order val="5"/>
          <c:tx>
            <c:v>Intermediate независимый</c:v>
          </c:tx>
          <c:marker>
            <c:symbol val="none"/>
          </c:marker>
          <c:val>
            <c:numRef>
              <c:f>исследование!$D$29:$D$38</c:f>
              <c:numCache>
                <c:formatCode>General</c:formatCode>
                <c:ptCount val="10"/>
                <c:pt idx="0">
                  <c:v>8.41</c:v>
                </c:pt>
                <c:pt idx="1">
                  <c:v>10.98</c:v>
                </c:pt>
                <c:pt idx="2">
                  <c:v>12.83</c:v>
                </c:pt>
                <c:pt idx="3">
                  <c:v>14.33</c:v>
                </c:pt>
                <c:pt idx="4">
                  <c:v>15.61</c:v>
                </c:pt>
                <c:pt idx="5">
                  <c:v>16.739999999999998</c:v>
                </c:pt>
                <c:pt idx="6">
                  <c:v>17.760000000000002</c:v>
                </c:pt>
                <c:pt idx="7">
                  <c:v>18.7</c:v>
                </c:pt>
                <c:pt idx="8">
                  <c:v>19.559999999999999</c:v>
                </c:pt>
                <c:pt idx="9">
                  <c:v>20.37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4A6C-476D-B62D-B8E32AE57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549568"/>
        <c:axId val="223713472"/>
      </c:lineChart>
      <c:catAx>
        <c:axId val="23754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3713472"/>
        <c:crosses val="autoZero"/>
        <c:auto val="1"/>
        <c:lblAlgn val="ctr"/>
        <c:lblOffset val="100"/>
        <c:noMultiLvlLbl val="0"/>
      </c:catAx>
      <c:valAx>
        <c:axId val="22371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7549568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Влияние </a:t>
            </a:r>
            <a:r>
              <a:rPr lang="en-US"/>
              <a:t>size</a:t>
            </a:r>
            <a:r>
              <a:rPr lang="ru-RU"/>
              <a:t> на</a:t>
            </a:r>
            <a:r>
              <a:rPr lang="en-US"/>
              <a:t> TM</a:t>
            </a:r>
            <a:r>
              <a:rPr lang="en-US" sz="1800" b="1" i="0" u="none" strike="noStrike" baseline="0">
                <a:effectLst/>
              </a:rPr>
              <a:t>: COCOMO II </a:t>
            </a:r>
            <a:r>
              <a:rPr lang="en-US"/>
              <a:t> </a:t>
            </a:r>
            <a:endParaRPr lang="ru-RU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423840769903762"/>
          <c:y val="0.19480351414406533"/>
          <c:w val="0.61456605424321964"/>
          <c:h val="0.68921660834062404"/>
        </c:manualLayout>
      </c:layout>
      <c:lineChart>
        <c:grouping val="standard"/>
        <c:varyColors val="0"/>
        <c:ser>
          <c:idx val="0"/>
          <c:order val="0"/>
          <c:tx>
            <c:strRef>
              <c:f>исследование!$F$14</c:f>
              <c:strCache>
                <c:ptCount val="1"/>
                <c:pt idx="0">
                  <c:v>Early Design</c:v>
                </c:pt>
              </c:strCache>
            </c:strRef>
          </c:tx>
          <c:marker>
            <c:symbol val="none"/>
          </c:marker>
          <c:val>
            <c:numRef>
              <c:f>исследование!$F$16:$F$25</c:f>
              <c:numCache>
                <c:formatCode>General</c:formatCode>
                <c:ptCount val="10"/>
                <c:pt idx="0">
                  <c:v>11.57</c:v>
                </c:pt>
                <c:pt idx="1">
                  <c:v>14.74</c:v>
                </c:pt>
                <c:pt idx="2">
                  <c:v>16.98</c:v>
                </c:pt>
                <c:pt idx="3">
                  <c:v>18.78</c:v>
                </c:pt>
                <c:pt idx="4">
                  <c:v>20.3</c:v>
                </c:pt>
                <c:pt idx="5">
                  <c:v>21.64</c:v>
                </c:pt>
                <c:pt idx="6">
                  <c:v>22.84</c:v>
                </c:pt>
                <c:pt idx="7">
                  <c:v>23.93</c:v>
                </c:pt>
                <c:pt idx="8">
                  <c:v>24.94</c:v>
                </c:pt>
                <c:pt idx="9">
                  <c:v>25.87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AD8-448B-B666-144BDFA4B38A}"/>
            </c:ext>
          </c:extLst>
        </c:ser>
        <c:ser>
          <c:idx val="1"/>
          <c:order val="1"/>
          <c:tx>
            <c:strRef>
              <c:f>исследование!$H$14</c:f>
              <c:strCache>
                <c:ptCount val="1"/>
                <c:pt idx="0">
                  <c:v>Post Architecture</c:v>
                </c:pt>
              </c:strCache>
            </c:strRef>
          </c:tx>
          <c:marker>
            <c:symbol val="none"/>
          </c:marker>
          <c:val>
            <c:numRef>
              <c:f>исследование!$H$16:$H$25</c:f>
              <c:numCache>
                <c:formatCode>General</c:formatCode>
                <c:ptCount val="10"/>
                <c:pt idx="0">
                  <c:v>10.92</c:v>
                </c:pt>
                <c:pt idx="1">
                  <c:v>13.91</c:v>
                </c:pt>
                <c:pt idx="2">
                  <c:v>16.03</c:v>
                </c:pt>
                <c:pt idx="3">
                  <c:v>17.72</c:v>
                </c:pt>
                <c:pt idx="4">
                  <c:v>19.16</c:v>
                </c:pt>
                <c:pt idx="5">
                  <c:v>20.420000000000002</c:v>
                </c:pt>
                <c:pt idx="6">
                  <c:v>21.55</c:v>
                </c:pt>
                <c:pt idx="7">
                  <c:v>22.58</c:v>
                </c:pt>
                <c:pt idx="8">
                  <c:v>23.53</c:v>
                </c:pt>
                <c:pt idx="9">
                  <c:v>24.42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AD8-448B-B666-144BDFA4B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714880"/>
        <c:axId val="238993984"/>
      </c:lineChart>
      <c:catAx>
        <c:axId val="23871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8993984"/>
        <c:crosses val="autoZero"/>
        <c:auto val="1"/>
        <c:lblAlgn val="ctr"/>
        <c:lblOffset val="100"/>
        <c:noMultiLvlLbl val="0"/>
      </c:catAx>
      <c:valAx>
        <c:axId val="238993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714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547112860892384"/>
          <c:y val="0.48798410615339749"/>
          <c:w val="0.25452887250692208"/>
          <c:h val="0.16887963631603795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Влияние </a:t>
            </a:r>
            <a:r>
              <a:rPr lang="en-US" sz="1800" b="1" i="0" baseline="0">
                <a:effectLst/>
              </a:rPr>
              <a:t>size</a:t>
            </a:r>
            <a:r>
              <a:rPr lang="ru-RU" sz="1800" b="1" i="0" baseline="0">
                <a:effectLst/>
              </a:rPr>
              <a:t> на</a:t>
            </a:r>
            <a:r>
              <a:rPr lang="en-US" sz="1800" b="1" i="0" baseline="0">
                <a:effectLst/>
              </a:rPr>
              <a:t> </a:t>
            </a:r>
            <a:r>
              <a:rPr lang="ru-RU" sz="1800" b="1" i="0" baseline="0">
                <a:effectLst/>
              </a:rPr>
              <a:t>Р</a:t>
            </a:r>
            <a:r>
              <a:rPr lang="en-US" sz="1800" b="1" i="0" baseline="0">
                <a:effectLst/>
              </a:rPr>
              <a:t>M: COCOMO 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Basic распространенный</c:v>
          </c:tx>
          <c:marker>
            <c:symbol val="none"/>
          </c:marker>
          <c:cat>
            <c:numRef>
              <c:f>исследование!$A$29:$A$38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исследование!$C$3:$C$12</c:f>
              <c:numCache>
                <c:formatCode>General</c:formatCode>
                <c:ptCount val="10"/>
                <c:pt idx="0">
                  <c:v>26.93</c:v>
                </c:pt>
                <c:pt idx="1">
                  <c:v>55.76</c:v>
                </c:pt>
                <c:pt idx="2">
                  <c:v>85.35</c:v>
                </c:pt>
                <c:pt idx="3">
                  <c:v>115.44</c:v>
                </c:pt>
                <c:pt idx="4">
                  <c:v>145.93</c:v>
                </c:pt>
                <c:pt idx="5">
                  <c:v>176.71</c:v>
                </c:pt>
                <c:pt idx="6">
                  <c:v>207.76</c:v>
                </c:pt>
                <c:pt idx="7">
                  <c:v>239.03</c:v>
                </c:pt>
                <c:pt idx="8">
                  <c:v>270.5</c:v>
                </c:pt>
                <c:pt idx="9">
                  <c:v>302.14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7C-477E-AD86-529155E20495}"/>
            </c:ext>
          </c:extLst>
        </c:ser>
        <c:ser>
          <c:idx val="1"/>
          <c:order val="1"/>
          <c:tx>
            <c:v>Intermediate распространенный</c:v>
          </c:tx>
          <c:marker>
            <c:symbol val="none"/>
          </c:marker>
          <c:cat>
            <c:numRef>
              <c:f>исследование!$A$29:$A$38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исследование!$E$3:$E$12</c:f>
              <c:numCache>
                <c:formatCode>General</c:formatCode>
                <c:ptCount val="10"/>
                <c:pt idx="0">
                  <c:v>35.9</c:v>
                </c:pt>
                <c:pt idx="1">
                  <c:v>74.34</c:v>
                </c:pt>
                <c:pt idx="2">
                  <c:v>113.8</c:v>
                </c:pt>
                <c:pt idx="3">
                  <c:v>153.93</c:v>
                </c:pt>
                <c:pt idx="4">
                  <c:v>194.57</c:v>
                </c:pt>
                <c:pt idx="5">
                  <c:v>235.62</c:v>
                </c:pt>
                <c:pt idx="6">
                  <c:v>277.01</c:v>
                </c:pt>
                <c:pt idx="7">
                  <c:v>318.70999999999998</c:v>
                </c:pt>
                <c:pt idx="8">
                  <c:v>360.67</c:v>
                </c:pt>
                <c:pt idx="9">
                  <c:v>402.86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7C-477E-AD86-529155E20495}"/>
            </c:ext>
          </c:extLst>
        </c:ser>
        <c:ser>
          <c:idx val="2"/>
          <c:order val="2"/>
          <c:tx>
            <c:v>Intermrdiate независимый</c:v>
          </c:tx>
          <c:marker>
            <c:symbol val="none"/>
          </c:marker>
          <c:cat>
            <c:numRef>
              <c:f>исследование!$A$29:$A$38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исследование!$E$29:$E$38</c:f>
              <c:numCache>
                <c:formatCode>General</c:formatCode>
                <c:ptCount val="10"/>
                <c:pt idx="0">
                  <c:v>44.38</c:v>
                </c:pt>
                <c:pt idx="1">
                  <c:v>101.95</c:v>
                </c:pt>
                <c:pt idx="2">
                  <c:v>165.85</c:v>
                </c:pt>
                <c:pt idx="3">
                  <c:v>234.22</c:v>
                </c:pt>
                <c:pt idx="4">
                  <c:v>306.14</c:v>
                </c:pt>
                <c:pt idx="5">
                  <c:v>381.01</c:v>
                </c:pt>
                <c:pt idx="6">
                  <c:v>458.43</c:v>
                </c:pt>
                <c:pt idx="7">
                  <c:v>538.1</c:v>
                </c:pt>
                <c:pt idx="8">
                  <c:v>619.79999999999995</c:v>
                </c:pt>
                <c:pt idx="9">
                  <c:v>703.33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E7C-477E-AD86-529155E20495}"/>
            </c:ext>
          </c:extLst>
        </c:ser>
        <c:ser>
          <c:idx val="3"/>
          <c:order val="3"/>
          <c:tx>
            <c:v>Basic независимый</c:v>
          </c:tx>
          <c:marker>
            <c:symbol val="none"/>
          </c:marker>
          <c:cat>
            <c:numRef>
              <c:f>исследование!$A$29:$A$38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исследование!$C$29:$C$38</c:f>
              <c:numCache>
                <c:formatCode>General</c:formatCode>
                <c:ptCount val="10"/>
                <c:pt idx="0">
                  <c:v>57.06</c:v>
                </c:pt>
                <c:pt idx="1">
                  <c:v>131.08000000000001</c:v>
                </c:pt>
                <c:pt idx="2">
                  <c:v>213.23</c:v>
                </c:pt>
                <c:pt idx="3">
                  <c:v>301.14</c:v>
                </c:pt>
                <c:pt idx="4">
                  <c:v>393.61</c:v>
                </c:pt>
                <c:pt idx="5">
                  <c:v>489.87</c:v>
                </c:pt>
                <c:pt idx="6">
                  <c:v>589.41</c:v>
                </c:pt>
                <c:pt idx="7">
                  <c:v>691.85</c:v>
                </c:pt>
                <c:pt idx="8">
                  <c:v>796.88</c:v>
                </c:pt>
                <c:pt idx="9">
                  <c:v>904.28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E7C-477E-AD86-529155E20495}"/>
            </c:ext>
          </c:extLst>
        </c:ser>
        <c:ser>
          <c:idx val="4"/>
          <c:order val="4"/>
          <c:tx>
            <c:v>Basic полунезависимый</c:v>
          </c:tx>
          <c:marker>
            <c:symbol val="none"/>
          </c:marker>
          <c:val>
            <c:numRef>
              <c:f>исследование!$C$16:$C$25</c:f>
              <c:numCache>
                <c:formatCode>General</c:formatCode>
                <c:ptCount val="10"/>
                <c:pt idx="0">
                  <c:v>39.549999999999997</c:v>
                </c:pt>
                <c:pt idx="1">
                  <c:v>85.96</c:v>
                </c:pt>
                <c:pt idx="2">
                  <c:v>135.36000000000001</c:v>
                </c:pt>
                <c:pt idx="3">
                  <c:v>186.82</c:v>
                </c:pt>
                <c:pt idx="4">
                  <c:v>239.87</c:v>
                </c:pt>
                <c:pt idx="5">
                  <c:v>294.20999999999998</c:v>
                </c:pt>
                <c:pt idx="6">
                  <c:v>349.65</c:v>
                </c:pt>
                <c:pt idx="7">
                  <c:v>406.05</c:v>
                </c:pt>
                <c:pt idx="8">
                  <c:v>463.31</c:v>
                </c:pt>
                <c:pt idx="9">
                  <c:v>521.34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E7C-477E-AD86-529155E20495}"/>
            </c:ext>
          </c:extLst>
        </c:ser>
        <c:ser>
          <c:idx val="5"/>
          <c:order val="5"/>
          <c:tx>
            <c:v>Intermediate полунезависимый</c:v>
          </c:tx>
          <c:marker>
            <c:symbol val="none"/>
          </c:marker>
          <c:val>
            <c:numRef>
              <c:f>исследование!$E$16:$E$25</c:f>
              <c:numCache>
                <c:formatCode>General</c:formatCode>
                <c:ptCount val="10"/>
                <c:pt idx="0">
                  <c:v>39.549999999999997</c:v>
                </c:pt>
                <c:pt idx="1">
                  <c:v>85.96</c:v>
                </c:pt>
                <c:pt idx="2">
                  <c:v>135.36000000000001</c:v>
                </c:pt>
                <c:pt idx="3">
                  <c:v>186.82</c:v>
                </c:pt>
                <c:pt idx="4">
                  <c:v>239.87</c:v>
                </c:pt>
                <c:pt idx="5">
                  <c:v>294.20999999999998</c:v>
                </c:pt>
                <c:pt idx="6">
                  <c:v>349.65</c:v>
                </c:pt>
                <c:pt idx="7">
                  <c:v>406.05</c:v>
                </c:pt>
                <c:pt idx="8">
                  <c:v>463.31</c:v>
                </c:pt>
                <c:pt idx="9">
                  <c:v>521.34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6E7C-477E-AD86-529155E20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716416"/>
        <c:axId val="238995712"/>
      </c:lineChart>
      <c:catAx>
        <c:axId val="238716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8995712"/>
        <c:crosses val="autoZero"/>
        <c:auto val="1"/>
        <c:lblAlgn val="ctr"/>
        <c:lblOffset val="100"/>
        <c:noMultiLvlLbl val="0"/>
      </c:catAx>
      <c:valAx>
        <c:axId val="23899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716416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Влияние </a:t>
            </a:r>
            <a:r>
              <a:rPr lang="en-US" sz="1800" b="1" i="0" baseline="0">
                <a:effectLst/>
              </a:rPr>
              <a:t>size</a:t>
            </a:r>
            <a:r>
              <a:rPr lang="ru-RU" sz="1800" b="1" i="0" baseline="0">
                <a:effectLst/>
              </a:rPr>
              <a:t> на</a:t>
            </a:r>
            <a:r>
              <a:rPr lang="en-US" sz="1800" b="1" i="0" baseline="0">
                <a:effectLst/>
              </a:rPr>
              <a:t> </a:t>
            </a:r>
            <a:r>
              <a:rPr lang="ru-RU" sz="1800" b="1" i="0" baseline="0">
                <a:effectLst/>
              </a:rPr>
              <a:t>Р</a:t>
            </a:r>
            <a:r>
              <a:rPr lang="en-US" sz="1800" b="1" i="0" baseline="0">
                <a:effectLst/>
              </a:rPr>
              <a:t>M</a:t>
            </a:r>
            <a:r>
              <a:rPr lang="en-US" sz="1800" b="1" i="0" u="none" strike="noStrike" baseline="0">
                <a:effectLst/>
              </a:rPr>
              <a:t>: COCOMO II</a:t>
            </a:r>
            <a:r>
              <a:rPr lang="en-US" sz="1800" b="1" i="0" baseline="0">
                <a:effectLst/>
              </a:rPr>
              <a:t> 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40507436570429"/>
          <c:y val="0.19480351414406533"/>
          <c:w val="0.58639938757655297"/>
          <c:h val="0.68921660834062404"/>
        </c:manualLayout>
      </c:layout>
      <c:lineChart>
        <c:grouping val="standard"/>
        <c:varyColors val="0"/>
        <c:ser>
          <c:idx val="0"/>
          <c:order val="0"/>
          <c:tx>
            <c:strRef>
              <c:f>исследование!$F$1</c:f>
              <c:strCache>
                <c:ptCount val="1"/>
                <c:pt idx="0">
                  <c:v>Early Design</c:v>
                </c:pt>
              </c:strCache>
            </c:strRef>
          </c:tx>
          <c:marker>
            <c:symbol val="none"/>
          </c:marker>
          <c:cat>
            <c:numRef>
              <c:f>исследование!$A$3:$A$12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исследование!$G$16:$G$25</c:f>
              <c:numCache>
                <c:formatCode>General</c:formatCode>
                <c:ptCount val="10"/>
                <c:pt idx="0">
                  <c:v>36.99</c:v>
                </c:pt>
                <c:pt idx="1">
                  <c:v>79.27</c:v>
                </c:pt>
                <c:pt idx="2">
                  <c:v>123.8</c:v>
                </c:pt>
                <c:pt idx="3">
                  <c:v>169.88</c:v>
                </c:pt>
                <c:pt idx="4">
                  <c:v>217.12</c:v>
                </c:pt>
                <c:pt idx="5">
                  <c:v>265.33</c:v>
                </c:pt>
                <c:pt idx="6">
                  <c:v>314.33999999999997</c:v>
                </c:pt>
                <c:pt idx="7">
                  <c:v>364.06</c:v>
                </c:pt>
                <c:pt idx="8">
                  <c:v>414.41</c:v>
                </c:pt>
                <c:pt idx="9">
                  <c:v>465.32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24E-43B1-9B0D-D69DB3223675}"/>
            </c:ext>
          </c:extLst>
        </c:ser>
        <c:ser>
          <c:idx val="1"/>
          <c:order val="1"/>
          <c:tx>
            <c:strRef>
              <c:f>исследование!$H$1</c:f>
              <c:strCache>
                <c:ptCount val="1"/>
                <c:pt idx="0">
                  <c:v>Post Architecture</c:v>
                </c:pt>
              </c:strCache>
            </c:strRef>
          </c:tx>
          <c:marker>
            <c:symbol val="none"/>
          </c:marker>
          <c:cat>
            <c:numRef>
              <c:f>исследование!$A$3:$A$12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</c:numCache>
            </c:numRef>
          </c:cat>
          <c:val>
            <c:numRef>
              <c:f>исследование!$I$16:$I$25</c:f>
              <c:numCache>
                <c:formatCode>General</c:formatCode>
                <c:ptCount val="10"/>
                <c:pt idx="0">
                  <c:v>30.82</c:v>
                </c:pt>
                <c:pt idx="1">
                  <c:v>66.06</c:v>
                </c:pt>
                <c:pt idx="2">
                  <c:v>103.17</c:v>
                </c:pt>
                <c:pt idx="3">
                  <c:v>141.56</c:v>
                </c:pt>
                <c:pt idx="4">
                  <c:v>180.94</c:v>
                </c:pt>
                <c:pt idx="5">
                  <c:v>221.11</c:v>
                </c:pt>
                <c:pt idx="6">
                  <c:v>261.95</c:v>
                </c:pt>
                <c:pt idx="7">
                  <c:v>303.39</c:v>
                </c:pt>
                <c:pt idx="8">
                  <c:v>345.34</c:v>
                </c:pt>
                <c:pt idx="9">
                  <c:v>387.76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24E-43B1-9B0D-D69DB3223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717952"/>
        <c:axId val="238998016"/>
      </c:lineChart>
      <c:catAx>
        <c:axId val="238717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8998016"/>
        <c:crosses val="autoZero"/>
        <c:auto val="1"/>
        <c:lblAlgn val="ctr"/>
        <c:lblOffset val="100"/>
        <c:noMultiLvlLbl val="0"/>
      </c:catAx>
      <c:valAx>
        <c:axId val="23899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7179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491557305336833"/>
          <c:y val="0.48798410615339749"/>
          <c:w val="0.23508451286153073"/>
          <c:h val="0.16887963631603795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TM </a:t>
            </a:r>
            <a:r>
              <a:rPr lang="ru-RU"/>
              <a:t>для среднего уровня сложности проекта </a:t>
            </a:r>
          </a:p>
        </c:rich>
      </c:tx>
      <c:layout>
        <c:manualLayout>
          <c:xMode val="edge"/>
          <c:yMode val="edge"/>
          <c:x val="0.10227077865266843"/>
          <c:y val="2.7777777777777776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исследование!$B$14</c:f>
              <c:strCache>
                <c:ptCount val="1"/>
                <c:pt idx="0">
                  <c:v>Basic</c:v>
                </c:pt>
              </c:strCache>
            </c:strRef>
          </c:tx>
          <c:invertIfNegative val="0"/>
          <c:cat>
            <c:numRef>
              <c:f>исследование!$A$18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исследование!$B$18</c:f>
              <c:numCache>
                <c:formatCode>General</c:formatCode>
                <c:ptCount val="1"/>
                <c:pt idx="0">
                  <c:v>13.93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76C-4A36-8D27-AA7D87C9BF3C}"/>
            </c:ext>
          </c:extLst>
        </c:ser>
        <c:ser>
          <c:idx val="1"/>
          <c:order val="1"/>
          <c:tx>
            <c:strRef>
              <c:f>исследование!$D$14</c:f>
              <c:strCache>
                <c:ptCount val="1"/>
                <c:pt idx="0">
                  <c:v>Intermrdiate</c:v>
                </c:pt>
              </c:strCache>
            </c:strRef>
          </c:tx>
          <c:invertIfNegative val="0"/>
          <c:val>
            <c:numRef>
              <c:f>исследование!$D$18</c:f>
              <c:numCache>
                <c:formatCode>General</c:formatCode>
                <c:ptCount val="1"/>
                <c:pt idx="0">
                  <c:v>13.93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76C-4A36-8D27-AA7D87C9BF3C}"/>
            </c:ext>
          </c:extLst>
        </c:ser>
        <c:ser>
          <c:idx val="2"/>
          <c:order val="2"/>
          <c:tx>
            <c:strRef>
              <c:f>исследование!$F$14</c:f>
              <c:strCache>
                <c:ptCount val="1"/>
                <c:pt idx="0">
                  <c:v>Early Design</c:v>
                </c:pt>
              </c:strCache>
            </c:strRef>
          </c:tx>
          <c:invertIfNegative val="0"/>
          <c:val>
            <c:numRef>
              <c:f>исследование!$F$18</c:f>
              <c:numCache>
                <c:formatCode>General</c:formatCode>
                <c:ptCount val="1"/>
                <c:pt idx="0">
                  <c:v>16.98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76C-4A36-8D27-AA7D87C9BF3C}"/>
            </c:ext>
          </c:extLst>
        </c:ser>
        <c:ser>
          <c:idx val="3"/>
          <c:order val="3"/>
          <c:tx>
            <c:strRef>
              <c:f>исследование!$H$1</c:f>
              <c:strCache>
                <c:ptCount val="1"/>
                <c:pt idx="0">
                  <c:v>Post Architecture</c:v>
                </c:pt>
              </c:strCache>
            </c:strRef>
          </c:tx>
          <c:invertIfNegative val="0"/>
          <c:val>
            <c:numRef>
              <c:f>исследование!$H$18</c:f>
              <c:numCache>
                <c:formatCode>General</c:formatCode>
                <c:ptCount val="1"/>
                <c:pt idx="0">
                  <c:v>16.03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76C-4A36-8D27-AA7D87C9B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8718464"/>
        <c:axId val="239000320"/>
      </c:barChart>
      <c:catAx>
        <c:axId val="23871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000320"/>
        <c:crosses val="autoZero"/>
        <c:auto val="1"/>
        <c:lblAlgn val="ctr"/>
        <c:lblOffset val="100"/>
        <c:noMultiLvlLbl val="0"/>
      </c:catAx>
      <c:valAx>
        <c:axId val="239000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8718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Р</a:t>
            </a:r>
            <a:r>
              <a:rPr lang="en-US" sz="1800" b="1" i="0" baseline="0">
                <a:effectLst/>
              </a:rPr>
              <a:t>M </a:t>
            </a:r>
            <a:r>
              <a:rPr lang="ru-RU" sz="1800" b="1" i="0" baseline="0">
                <a:effectLst/>
              </a:rPr>
              <a:t>для среднего уровня сложности проекта 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исследование!$B$14</c:f>
              <c:strCache>
                <c:ptCount val="1"/>
                <c:pt idx="0">
                  <c:v>Basic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исследование!$C$18</c:f>
              <c:numCache>
                <c:formatCode>General</c:formatCode>
                <c:ptCount val="1"/>
                <c:pt idx="0">
                  <c:v>135.36000000000001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28-4AC9-A24B-B885F4D84016}"/>
            </c:ext>
          </c:extLst>
        </c:ser>
        <c:ser>
          <c:idx val="1"/>
          <c:order val="1"/>
          <c:tx>
            <c:strRef>
              <c:f>исследование!$D$14</c:f>
              <c:strCache>
                <c:ptCount val="1"/>
                <c:pt idx="0">
                  <c:v>Intermrdiate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исследование!$E$18</c:f>
              <c:numCache>
                <c:formatCode>General</c:formatCode>
                <c:ptCount val="1"/>
                <c:pt idx="0">
                  <c:v>135.36000000000001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28-4AC9-A24B-B885F4D84016}"/>
            </c:ext>
          </c:extLst>
        </c:ser>
        <c:ser>
          <c:idx val="2"/>
          <c:order val="2"/>
          <c:tx>
            <c:strRef>
              <c:f>исследование!$F$14</c:f>
              <c:strCache>
                <c:ptCount val="1"/>
                <c:pt idx="0">
                  <c:v>Early Design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исследование!$G$18</c:f>
              <c:numCache>
                <c:formatCode>General</c:formatCode>
                <c:ptCount val="1"/>
                <c:pt idx="0">
                  <c:v>123.8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828-4AC9-A24B-B885F4D84016}"/>
            </c:ext>
          </c:extLst>
        </c:ser>
        <c:ser>
          <c:idx val="3"/>
          <c:order val="3"/>
          <c:tx>
            <c:strRef>
              <c:f>исследование!$H$1</c:f>
              <c:strCache>
                <c:ptCount val="1"/>
                <c:pt idx="0">
                  <c:v>Post Architecture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исследование!$I$18</c:f>
              <c:numCache>
                <c:formatCode>General</c:formatCode>
                <c:ptCount val="1"/>
                <c:pt idx="0">
                  <c:v>103.17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828-4AC9-A24B-B885F4D84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502848"/>
        <c:axId val="239568000"/>
      </c:barChart>
      <c:catAx>
        <c:axId val="23950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568000"/>
        <c:crosses val="autoZero"/>
        <c:auto val="1"/>
        <c:lblAlgn val="ctr"/>
        <c:lblOffset val="100"/>
        <c:noMultiLvlLbl val="0"/>
      </c:catAx>
      <c:valAx>
        <c:axId val="23956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502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TM </a:t>
            </a:r>
            <a:r>
              <a:rPr lang="ru-RU" sz="1800" b="1" i="0" baseline="0">
                <a:effectLst/>
              </a:rPr>
              <a:t>для простого уровня сложности проекта 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исследование!$B$1</c:f>
              <c:strCache>
                <c:ptCount val="1"/>
                <c:pt idx="0">
                  <c:v>Basic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исследование!$B$5</c:f>
              <c:numCache>
                <c:formatCode>General</c:formatCode>
                <c:ptCount val="1"/>
                <c:pt idx="0">
                  <c:v>13.55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30E-4160-9A91-EF5D64347E71}"/>
            </c:ext>
          </c:extLst>
        </c:ser>
        <c:ser>
          <c:idx val="1"/>
          <c:order val="1"/>
          <c:tx>
            <c:strRef>
              <c:f>исследование!$D$1</c:f>
              <c:strCache>
                <c:ptCount val="1"/>
                <c:pt idx="0">
                  <c:v>Intermrdiate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исследование!$D$5</c:f>
              <c:numCache>
                <c:formatCode>General</c:formatCode>
                <c:ptCount val="1"/>
                <c:pt idx="0">
                  <c:v>15.11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30E-4160-9A91-EF5D64347E71}"/>
            </c:ext>
          </c:extLst>
        </c:ser>
        <c:ser>
          <c:idx val="2"/>
          <c:order val="2"/>
          <c:tx>
            <c:strRef>
              <c:f>исследование!$F$1</c:f>
              <c:strCache>
                <c:ptCount val="1"/>
                <c:pt idx="0">
                  <c:v>Early Design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исследование!$F$5</c:f>
              <c:numCache>
                <c:formatCode>General</c:formatCode>
                <c:ptCount val="1"/>
                <c:pt idx="0">
                  <c:v>5.78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30E-4160-9A91-EF5D64347E71}"/>
            </c:ext>
          </c:extLst>
        </c:ser>
        <c:ser>
          <c:idx val="3"/>
          <c:order val="3"/>
          <c:tx>
            <c:strRef>
              <c:f>исследование!$H$1</c:f>
              <c:strCache>
                <c:ptCount val="1"/>
                <c:pt idx="0">
                  <c:v>Post Architecture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исследование!$H$5</c:f>
              <c:numCache>
                <c:formatCode>General</c:formatCode>
                <c:ptCount val="1"/>
                <c:pt idx="0">
                  <c:v>3.45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30E-4160-9A91-EF5D64347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504384"/>
        <c:axId val="239570304"/>
      </c:barChart>
      <c:catAx>
        <c:axId val="23950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570304"/>
        <c:crosses val="autoZero"/>
        <c:auto val="1"/>
        <c:lblAlgn val="ctr"/>
        <c:lblOffset val="100"/>
        <c:noMultiLvlLbl val="0"/>
      </c:catAx>
      <c:valAx>
        <c:axId val="239570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504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Р</a:t>
            </a:r>
            <a:r>
              <a:rPr lang="en-US" sz="1800" b="1" i="0" baseline="0">
                <a:effectLst/>
              </a:rPr>
              <a:t>M </a:t>
            </a:r>
            <a:r>
              <a:rPr lang="ru-RU" sz="1800" b="1" i="0" baseline="0">
                <a:effectLst/>
              </a:rPr>
              <a:t>для простого уровня сложности проекта 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исследование!$B$1</c:f>
              <c:strCache>
                <c:ptCount val="1"/>
                <c:pt idx="0">
                  <c:v>Basic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исследование!$C$5</c:f>
              <c:numCache>
                <c:formatCode>General</c:formatCode>
                <c:ptCount val="1"/>
                <c:pt idx="0">
                  <c:v>85.35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03-4FB0-81B7-587CBA88ED85}"/>
            </c:ext>
          </c:extLst>
        </c:ser>
        <c:ser>
          <c:idx val="1"/>
          <c:order val="1"/>
          <c:tx>
            <c:strRef>
              <c:f>исследование!$D$1</c:f>
              <c:strCache>
                <c:ptCount val="1"/>
                <c:pt idx="0">
                  <c:v>Intermrdiate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исследование!$E$5</c:f>
              <c:numCache>
                <c:formatCode>General</c:formatCode>
                <c:ptCount val="1"/>
                <c:pt idx="0">
                  <c:v>113.8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03-4FB0-81B7-587CBA88ED85}"/>
            </c:ext>
          </c:extLst>
        </c:ser>
        <c:ser>
          <c:idx val="2"/>
          <c:order val="2"/>
          <c:tx>
            <c:strRef>
              <c:f>исследование!$F$1</c:f>
              <c:strCache>
                <c:ptCount val="1"/>
                <c:pt idx="0">
                  <c:v>Early Design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исследование!$G$5</c:f>
              <c:numCache>
                <c:formatCode>General</c:formatCode>
                <c:ptCount val="1"/>
                <c:pt idx="0">
                  <c:v>5.05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F03-4FB0-81B7-587CBA88ED85}"/>
            </c:ext>
          </c:extLst>
        </c:ser>
        <c:ser>
          <c:idx val="3"/>
          <c:order val="3"/>
          <c:tx>
            <c:strRef>
              <c:f>исследование!$H$1</c:f>
              <c:strCache>
                <c:ptCount val="1"/>
                <c:pt idx="0">
                  <c:v>Post Architecture</c:v>
                </c:pt>
              </c:strCache>
            </c:strRef>
          </c:tx>
          <c:invertIfNegative val="0"/>
          <c:cat>
            <c:numRef>
              <c:f>исследование!$A$5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исследование!$I$5</c:f>
              <c:numCache>
                <c:formatCode>General</c:formatCode>
                <c:ptCount val="1"/>
                <c:pt idx="0">
                  <c:v>0.81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F03-4FB0-81B7-587CBA88E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800128"/>
        <c:axId val="239572608"/>
      </c:barChart>
      <c:catAx>
        <c:axId val="22680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572608"/>
        <c:crosses val="autoZero"/>
        <c:auto val="1"/>
        <c:lblAlgn val="ctr"/>
        <c:lblOffset val="100"/>
        <c:noMultiLvlLbl val="0"/>
      </c:catAx>
      <c:valAx>
        <c:axId val="23957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8001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TM </a:t>
            </a:r>
            <a:r>
              <a:rPr lang="ru-RU" sz="1800" b="1" i="0" baseline="0">
                <a:effectLst/>
              </a:rPr>
              <a:t>для сложного уровня сложности проекта 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исследование!$B$27</c:f>
              <c:strCache>
                <c:ptCount val="1"/>
                <c:pt idx="0">
                  <c:v>Basic</c:v>
                </c:pt>
              </c:strCache>
            </c:strRef>
          </c:tx>
          <c:invertIfNegative val="0"/>
          <c:cat>
            <c:numLit>
              <c:formatCode>General</c:formatCode>
              <c:ptCount val="1"/>
              <c:pt idx="0">
                <c:v>30</c:v>
              </c:pt>
            </c:numLit>
          </c:cat>
          <c:val>
            <c:numRef>
              <c:f>исследование!$B$31</c:f>
              <c:numCache>
                <c:formatCode>General</c:formatCode>
                <c:ptCount val="1"/>
                <c:pt idx="0">
                  <c:v>13.91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E2-425C-BF74-7DE39BFF3CE6}"/>
            </c:ext>
          </c:extLst>
        </c:ser>
        <c:ser>
          <c:idx val="1"/>
          <c:order val="1"/>
          <c:tx>
            <c:strRef>
              <c:f>исследование!$D$27</c:f>
              <c:strCache>
                <c:ptCount val="1"/>
                <c:pt idx="0">
                  <c:v>Intermrdiate</c:v>
                </c:pt>
              </c:strCache>
            </c:strRef>
          </c:tx>
          <c:invertIfNegative val="0"/>
          <c:cat>
            <c:numLit>
              <c:formatCode>General</c:formatCode>
              <c:ptCount val="1"/>
              <c:pt idx="0">
                <c:v>30</c:v>
              </c:pt>
            </c:numLit>
          </c:cat>
          <c:val>
            <c:numRef>
              <c:f>исследование!$D$31</c:f>
              <c:numCache>
                <c:formatCode>General</c:formatCode>
                <c:ptCount val="1"/>
                <c:pt idx="0">
                  <c:v>12.83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4E2-425C-BF74-7DE39BFF3CE6}"/>
            </c:ext>
          </c:extLst>
        </c:ser>
        <c:ser>
          <c:idx val="2"/>
          <c:order val="2"/>
          <c:tx>
            <c:strRef>
              <c:f>исследование!$F$27</c:f>
              <c:strCache>
                <c:ptCount val="1"/>
                <c:pt idx="0">
                  <c:v>Early Design</c:v>
                </c:pt>
              </c:strCache>
            </c:strRef>
          </c:tx>
          <c:invertIfNegative val="0"/>
          <c:cat>
            <c:numLit>
              <c:formatCode>General</c:formatCode>
              <c:ptCount val="1"/>
              <c:pt idx="0">
                <c:v>30</c:v>
              </c:pt>
            </c:numLit>
          </c:cat>
          <c:val>
            <c:numRef>
              <c:f>исследование!$F$31</c:f>
              <c:numCache>
                <c:formatCode>General</c:formatCode>
                <c:ptCount val="1"/>
                <c:pt idx="0">
                  <c:v>115.12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E2-425C-BF74-7DE39BFF3CE6}"/>
            </c:ext>
          </c:extLst>
        </c:ser>
        <c:ser>
          <c:idx val="3"/>
          <c:order val="3"/>
          <c:tx>
            <c:strRef>
              <c:f>исследование!$H$27</c:f>
              <c:strCache>
                <c:ptCount val="1"/>
                <c:pt idx="0">
                  <c:v>Post Architecture</c:v>
                </c:pt>
              </c:strCache>
            </c:strRef>
          </c:tx>
          <c:invertIfNegative val="0"/>
          <c:cat>
            <c:numLit>
              <c:formatCode>General</c:formatCode>
              <c:ptCount val="1"/>
              <c:pt idx="0">
                <c:v>30</c:v>
              </c:pt>
            </c:numLit>
          </c:cat>
          <c:val>
            <c:numRef>
              <c:f>исследование!$H$31</c:f>
              <c:numCache>
                <c:formatCode>General</c:formatCode>
                <c:ptCount val="1"/>
                <c:pt idx="0">
                  <c:v>134.9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4E2-425C-BF74-7DE39BFF3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215104"/>
        <c:axId val="239181824"/>
      </c:barChart>
      <c:catAx>
        <c:axId val="23921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181824"/>
        <c:crosses val="autoZero"/>
        <c:auto val="1"/>
        <c:lblAlgn val="ctr"/>
        <c:lblOffset val="100"/>
        <c:noMultiLvlLbl val="0"/>
      </c:catAx>
      <c:valAx>
        <c:axId val="239181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215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 sz="1800" b="1" i="0" baseline="0">
                <a:effectLst/>
              </a:rPr>
              <a:t>Р</a:t>
            </a:r>
            <a:r>
              <a:rPr lang="en-US" sz="1800" b="1" i="0" baseline="0">
                <a:effectLst/>
              </a:rPr>
              <a:t>M </a:t>
            </a:r>
            <a:r>
              <a:rPr lang="ru-RU" sz="1800" b="1" i="0" baseline="0">
                <a:effectLst/>
              </a:rPr>
              <a:t>для сложного уровня сложности проекта </a:t>
            </a:r>
            <a:endParaRPr lang="ru-RU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исследование!$B$27</c:f>
              <c:strCache>
                <c:ptCount val="1"/>
                <c:pt idx="0">
                  <c:v>Basic</c:v>
                </c:pt>
              </c:strCache>
            </c:strRef>
          </c:tx>
          <c:invertIfNegative val="0"/>
          <c:cat>
            <c:numRef>
              <c:f>исследование!$A$31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исследование!$C$31</c:f>
              <c:numCache>
                <c:formatCode>General</c:formatCode>
                <c:ptCount val="1"/>
                <c:pt idx="0">
                  <c:v>213.23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953-4F8B-A59B-42DF23AB89BB}"/>
            </c:ext>
          </c:extLst>
        </c:ser>
        <c:ser>
          <c:idx val="1"/>
          <c:order val="1"/>
          <c:tx>
            <c:strRef>
              <c:f>исследование!$D$27</c:f>
              <c:strCache>
                <c:ptCount val="1"/>
                <c:pt idx="0">
                  <c:v>Intermrdiate</c:v>
                </c:pt>
              </c:strCache>
            </c:strRef>
          </c:tx>
          <c:invertIfNegative val="0"/>
          <c:cat>
            <c:numRef>
              <c:f>исследование!$A$31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исследование!$E$31</c:f>
              <c:numCache>
                <c:formatCode>General</c:formatCode>
                <c:ptCount val="1"/>
                <c:pt idx="0">
                  <c:v>165.85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953-4F8B-A59B-42DF23AB89BB}"/>
            </c:ext>
          </c:extLst>
        </c:ser>
        <c:ser>
          <c:idx val="2"/>
          <c:order val="2"/>
          <c:tx>
            <c:strRef>
              <c:f>исследование!$F$27</c:f>
              <c:strCache>
                <c:ptCount val="1"/>
                <c:pt idx="0">
                  <c:v>Early Design</c:v>
                </c:pt>
              </c:strCache>
            </c:strRef>
          </c:tx>
          <c:invertIfNegative val="0"/>
          <c:cat>
            <c:numRef>
              <c:f>исследование!$A$31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исследование!$G$31</c:f>
              <c:numCache>
                <c:formatCode>General</c:formatCode>
                <c:ptCount val="1"/>
                <c:pt idx="0">
                  <c:v>11551.27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953-4F8B-A59B-42DF23AB89BB}"/>
            </c:ext>
          </c:extLst>
        </c:ser>
        <c:ser>
          <c:idx val="3"/>
          <c:order val="3"/>
          <c:tx>
            <c:strRef>
              <c:f>исследование!$H$27</c:f>
              <c:strCache>
                <c:ptCount val="1"/>
                <c:pt idx="0">
                  <c:v>Post Architecture</c:v>
                </c:pt>
              </c:strCache>
            </c:strRef>
          </c:tx>
          <c:invertIfNegative val="0"/>
          <c:cat>
            <c:numRef>
              <c:f>исследование!$A$31</c:f>
              <c:numCache>
                <c:formatCode>General</c:formatCode>
                <c:ptCount val="1"/>
                <c:pt idx="0">
                  <c:v>30</c:v>
                </c:pt>
              </c:numCache>
            </c:numRef>
          </c:cat>
          <c:val>
            <c:numRef>
              <c:f>исследование!$I$31</c:f>
              <c:numCache>
                <c:formatCode>General</c:formatCode>
                <c:ptCount val="1"/>
                <c:pt idx="0">
                  <c:v>18336.02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8953-4F8B-A59B-42DF23AB8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216640"/>
        <c:axId val="239184128"/>
      </c:barChart>
      <c:catAx>
        <c:axId val="23921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39184128"/>
        <c:crosses val="autoZero"/>
        <c:auto val="1"/>
        <c:lblAlgn val="ctr"/>
        <c:lblOffset val="100"/>
        <c:noMultiLvlLbl val="0"/>
      </c:catAx>
      <c:valAx>
        <c:axId val="239184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216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tm</a:t>
            </a:r>
            <a:endParaRPr lang="ru-RU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исследование!$B$74</c:f>
              <c:strCache>
                <c:ptCount val="1"/>
                <c:pt idx="0">
                  <c:v>Basic</c:v>
                </c:pt>
              </c:strCache>
            </c:strRef>
          </c:tx>
          <c:invertIfNegative val="0"/>
          <c:cat>
            <c:strRef>
              <c:f>исследование!$A$76:$A$78</c:f>
              <c:strCache>
                <c:ptCount val="3"/>
                <c:pt idx="0">
                  <c:v>простой</c:v>
                </c:pt>
                <c:pt idx="1">
                  <c:v>средний</c:v>
                </c:pt>
                <c:pt idx="2">
                  <c:v>сложный</c:v>
                </c:pt>
              </c:strCache>
            </c:strRef>
          </c:cat>
          <c:val>
            <c:numRef>
              <c:f>исследование!$B$76:$B$78</c:f>
              <c:numCache>
                <c:formatCode>General</c:formatCode>
                <c:ptCount val="3"/>
                <c:pt idx="0">
                  <c:v>13.55</c:v>
                </c:pt>
                <c:pt idx="1">
                  <c:v>13.93</c:v>
                </c:pt>
                <c:pt idx="2">
                  <c:v>13.91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314-4A29-954C-4688DB242603}"/>
            </c:ext>
          </c:extLst>
        </c:ser>
        <c:ser>
          <c:idx val="1"/>
          <c:order val="1"/>
          <c:tx>
            <c:strRef>
              <c:f>исследование!$D$74</c:f>
              <c:strCache>
                <c:ptCount val="1"/>
                <c:pt idx="0">
                  <c:v>Intermrdiate</c:v>
                </c:pt>
              </c:strCache>
            </c:strRef>
          </c:tx>
          <c:invertIfNegative val="0"/>
          <c:val>
            <c:numRef>
              <c:f>исследование!$D$76:$D$78</c:f>
              <c:numCache>
                <c:formatCode>General</c:formatCode>
                <c:ptCount val="3"/>
                <c:pt idx="0">
                  <c:v>15.11</c:v>
                </c:pt>
                <c:pt idx="1">
                  <c:v>13.93</c:v>
                </c:pt>
                <c:pt idx="2">
                  <c:v>12.83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314-4A29-954C-4688DB242603}"/>
            </c:ext>
          </c:extLst>
        </c:ser>
        <c:ser>
          <c:idx val="2"/>
          <c:order val="2"/>
          <c:tx>
            <c:strRef>
              <c:f>исследование!$F$74</c:f>
              <c:strCache>
                <c:ptCount val="1"/>
                <c:pt idx="0">
                  <c:v>Early Design</c:v>
                </c:pt>
              </c:strCache>
            </c:strRef>
          </c:tx>
          <c:invertIfNegative val="0"/>
          <c:val>
            <c:numRef>
              <c:f>исследование!$F$76:$F$78</c:f>
              <c:numCache>
                <c:formatCode>General</c:formatCode>
                <c:ptCount val="3"/>
                <c:pt idx="0">
                  <c:v>5.78</c:v>
                </c:pt>
                <c:pt idx="1">
                  <c:v>16.98</c:v>
                </c:pt>
                <c:pt idx="2">
                  <c:v>115.12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314-4A29-954C-4688DB242603}"/>
            </c:ext>
          </c:extLst>
        </c:ser>
        <c:ser>
          <c:idx val="3"/>
          <c:order val="3"/>
          <c:tx>
            <c:strRef>
              <c:f>исследование!$H$74</c:f>
              <c:strCache>
                <c:ptCount val="1"/>
                <c:pt idx="0">
                  <c:v>Post Architecture</c:v>
                </c:pt>
              </c:strCache>
            </c:strRef>
          </c:tx>
          <c:invertIfNegative val="0"/>
          <c:val>
            <c:numRef>
              <c:f>исследование!$H$76:$H$78</c:f>
              <c:numCache>
                <c:formatCode>General</c:formatCode>
                <c:ptCount val="3"/>
                <c:pt idx="0">
                  <c:v>3.45</c:v>
                </c:pt>
                <c:pt idx="1">
                  <c:v>16.03</c:v>
                </c:pt>
                <c:pt idx="2">
                  <c:v>134.9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314-4A29-954C-4688DB242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218176"/>
        <c:axId val="239186432"/>
      </c:barChart>
      <c:catAx>
        <c:axId val="23921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239186432"/>
        <c:crosses val="autoZero"/>
        <c:auto val="1"/>
        <c:lblAlgn val="ctr"/>
        <c:lblOffset val="100"/>
        <c:noMultiLvlLbl val="0"/>
      </c:catAx>
      <c:valAx>
        <c:axId val="239186432"/>
        <c:scaling>
          <c:orientation val="minMax"/>
        </c:scaling>
        <c:delete val="0"/>
        <c:axPos val="l"/>
        <c:min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239218176"/>
        <c:crosses val="autoZero"/>
        <c:crossBetween val="between"/>
      </c:valAx>
    </c:plotArea>
    <c:legend>
      <c:legendPos val="b"/>
      <c:overlay val="0"/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pm</a:t>
            </a:r>
            <a:endParaRPr lang="ru-RU"/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исследование!$B$74</c:f>
              <c:strCache>
                <c:ptCount val="1"/>
                <c:pt idx="0">
                  <c:v>Basic</c:v>
                </c:pt>
              </c:strCache>
            </c:strRef>
          </c:tx>
          <c:invertIfNegative val="0"/>
          <c:cat>
            <c:strRef>
              <c:f>исследование!$A$76:$A$78</c:f>
              <c:strCache>
                <c:ptCount val="3"/>
                <c:pt idx="0">
                  <c:v>простой</c:v>
                </c:pt>
                <c:pt idx="1">
                  <c:v>средний</c:v>
                </c:pt>
                <c:pt idx="2">
                  <c:v>сложный</c:v>
                </c:pt>
              </c:strCache>
            </c:strRef>
          </c:cat>
          <c:val>
            <c:numRef>
              <c:f>исследование!$C$76:$C$78</c:f>
              <c:numCache>
                <c:formatCode>General</c:formatCode>
                <c:ptCount val="3"/>
                <c:pt idx="0">
                  <c:v>85.35</c:v>
                </c:pt>
                <c:pt idx="1">
                  <c:v>135.36000000000001</c:v>
                </c:pt>
                <c:pt idx="2">
                  <c:v>213.23</c:v>
                </c:pt>
              </c:numCache>
            </c:numRef>
          </c:val>
        </c:ser>
        <c:ser>
          <c:idx val="1"/>
          <c:order val="1"/>
          <c:tx>
            <c:strRef>
              <c:f>исследование!$D$74</c:f>
              <c:strCache>
                <c:ptCount val="1"/>
                <c:pt idx="0">
                  <c:v>Intermrdiate</c:v>
                </c:pt>
              </c:strCache>
            </c:strRef>
          </c:tx>
          <c:invertIfNegative val="0"/>
          <c:cat>
            <c:strRef>
              <c:f>исследование!$A$76:$A$78</c:f>
              <c:strCache>
                <c:ptCount val="3"/>
                <c:pt idx="0">
                  <c:v>простой</c:v>
                </c:pt>
                <c:pt idx="1">
                  <c:v>средний</c:v>
                </c:pt>
                <c:pt idx="2">
                  <c:v>сложный</c:v>
                </c:pt>
              </c:strCache>
            </c:strRef>
          </c:cat>
          <c:val>
            <c:numRef>
              <c:f>исследование!$E$76:$E$78</c:f>
              <c:numCache>
                <c:formatCode>General</c:formatCode>
                <c:ptCount val="3"/>
                <c:pt idx="0">
                  <c:v>113.8</c:v>
                </c:pt>
                <c:pt idx="1">
                  <c:v>135.36000000000001</c:v>
                </c:pt>
                <c:pt idx="2">
                  <c:v>165.85</c:v>
                </c:pt>
              </c:numCache>
            </c:numRef>
          </c:val>
        </c:ser>
        <c:ser>
          <c:idx val="2"/>
          <c:order val="2"/>
          <c:tx>
            <c:strRef>
              <c:f>исследование!$F$74</c:f>
              <c:strCache>
                <c:ptCount val="1"/>
                <c:pt idx="0">
                  <c:v>Early Design</c:v>
                </c:pt>
              </c:strCache>
            </c:strRef>
          </c:tx>
          <c:invertIfNegative val="0"/>
          <c:cat>
            <c:strRef>
              <c:f>исследование!$A$76:$A$78</c:f>
              <c:strCache>
                <c:ptCount val="3"/>
                <c:pt idx="0">
                  <c:v>простой</c:v>
                </c:pt>
                <c:pt idx="1">
                  <c:v>средний</c:v>
                </c:pt>
                <c:pt idx="2">
                  <c:v>сложный</c:v>
                </c:pt>
              </c:strCache>
            </c:strRef>
          </c:cat>
          <c:val>
            <c:numRef>
              <c:f>исследование!$G$76:$G$78</c:f>
              <c:numCache>
                <c:formatCode>General</c:formatCode>
                <c:ptCount val="3"/>
                <c:pt idx="0">
                  <c:v>5.05</c:v>
                </c:pt>
                <c:pt idx="1">
                  <c:v>123.8</c:v>
                </c:pt>
                <c:pt idx="2">
                  <c:v>11551.27</c:v>
                </c:pt>
              </c:numCache>
            </c:numRef>
          </c:val>
        </c:ser>
        <c:ser>
          <c:idx val="3"/>
          <c:order val="3"/>
          <c:tx>
            <c:strRef>
              <c:f>исследование!$H$74</c:f>
              <c:strCache>
                <c:ptCount val="1"/>
                <c:pt idx="0">
                  <c:v>Post Architecture</c:v>
                </c:pt>
              </c:strCache>
            </c:strRef>
          </c:tx>
          <c:invertIfNegative val="0"/>
          <c:cat>
            <c:strRef>
              <c:f>исследование!$A$76:$A$78</c:f>
              <c:strCache>
                <c:ptCount val="3"/>
                <c:pt idx="0">
                  <c:v>простой</c:v>
                </c:pt>
                <c:pt idx="1">
                  <c:v>средний</c:v>
                </c:pt>
                <c:pt idx="2">
                  <c:v>сложный</c:v>
                </c:pt>
              </c:strCache>
            </c:strRef>
          </c:cat>
          <c:val>
            <c:numRef>
              <c:f>исследование!$I$76:$I$78</c:f>
              <c:numCache>
                <c:formatCode>General</c:formatCode>
                <c:ptCount val="3"/>
                <c:pt idx="0">
                  <c:v>0.81</c:v>
                </c:pt>
                <c:pt idx="1">
                  <c:v>103.17</c:v>
                </c:pt>
                <c:pt idx="2">
                  <c:v>18336.02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9661568"/>
        <c:axId val="239188736"/>
      </c:barChart>
      <c:catAx>
        <c:axId val="239661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39188736"/>
        <c:crosses val="autoZero"/>
        <c:auto val="1"/>
        <c:lblAlgn val="ctr"/>
        <c:lblOffset val="100"/>
        <c:noMultiLvlLbl val="0"/>
      </c:catAx>
      <c:valAx>
        <c:axId val="23918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9661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327660</xdr:colOff>
          <xdr:row>1</xdr:row>
          <xdr:rowOff>167640</xdr:rowOff>
        </xdr:from>
        <xdr:to>
          <xdr:col>3</xdr:col>
          <xdr:colOff>518160</xdr:colOff>
          <xdr:row>4</xdr:row>
          <xdr:rowOff>121920</xdr:rowOff>
        </xdr:to>
        <xdr:sp macro="" textlink="">
          <xdr:nvSpPr>
            <xdr:cNvPr id="1025" name="COCOM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55419</xdr:colOff>
      <xdr:row>13</xdr:row>
      <xdr:rowOff>23899</xdr:rowOff>
    </xdr:from>
    <xdr:to>
      <xdr:col>17</xdr:col>
      <xdr:colOff>360219</xdr:colOff>
      <xdr:row>26</xdr:row>
      <xdr:rowOff>204008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588819</xdr:colOff>
      <xdr:row>26</xdr:row>
      <xdr:rowOff>237451</xdr:rowOff>
    </xdr:from>
    <xdr:to>
      <xdr:col>17</xdr:col>
      <xdr:colOff>375459</xdr:colOff>
      <xdr:row>41</xdr:row>
      <xdr:rowOff>57342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421179</xdr:colOff>
      <xdr:row>13</xdr:row>
      <xdr:rowOff>23899</xdr:rowOff>
    </xdr:from>
    <xdr:to>
      <xdr:col>25</xdr:col>
      <xdr:colOff>116379</xdr:colOff>
      <xdr:row>26</xdr:row>
      <xdr:rowOff>204008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424989</xdr:colOff>
      <xdr:row>26</xdr:row>
      <xdr:rowOff>226868</xdr:rowOff>
    </xdr:from>
    <xdr:to>
      <xdr:col>25</xdr:col>
      <xdr:colOff>120189</xdr:colOff>
      <xdr:row>41</xdr:row>
      <xdr:rowOff>46759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15626</xdr:colOff>
      <xdr:row>41</xdr:row>
      <xdr:rowOff>105601</xdr:rowOff>
    </xdr:from>
    <xdr:to>
      <xdr:col>17</xdr:col>
      <xdr:colOff>320426</xdr:colOff>
      <xdr:row>56</xdr:row>
      <xdr:rowOff>105794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15627</xdr:colOff>
      <xdr:row>57</xdr:row>
      <xdr:rowOff>59227</xdr:rowOff>
    </xdr:from>
    <xdr:to>
      <xdr:col>17</xdr:col>
      <xdr:colOff>320427</xdr:colOff>
      <xdr:row>72</xdr:row>
      <xdr:rowOff>77430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254000</xdr:colOff>
      <xdr:row>41</xdr:row>
      <xdr:rowOff>79809</xdr:rowOff>
    </xdr:from>
    <xdr:to>
      <xdr:col>9</xdr:col>
      <xdr:colOff>541867</xdr:colOff>
      <xdr:row>56</xdr:row>
      <xdr:rowOff>132976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206810</xdr:colOff>
      <xdr:row>57</xdr:row>
      <xdr:rowOff>35982</xdr:rowOff>
    </xdr:from>
    <xdr:to>
      <xdr:col>9</xdr:col>
      <xdr:colOff>530536</xdr:colOff>
      <xdr:row>72</xdr:row>
      <xdr:rowOff>89770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455084</xdr:colOff>
      <xdr:row>41</xdr:row>
      <xdr:rowOff>115358</xdr:rowOff>
    </xdr:from>
    <xdr:to>
      <xdr:col>25</xdr:col>
      <xdr:colOff>116417</xdr:colOff>
      <xdr:row>56</xdr:row>
      <xdr:rowOff>159808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444499</xdr:colOff>
      <xdr:row>57</xdr:row>
      <xdr:rowOff>51858</xdr:rowOff>
    </xdr:from>
    <xdr:to>
      <xdr:col>25</xdr:col>
      <xdr:colOff>105832</xdr:colOff>
      <xdr:row>72</xdr:row>
      <xdr:rowOff>96308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454233</xdr:colOff>
      <xdr:row>39</xdr:row>
      <xdr:rowOff>110836</xdr:rowOff>
    </xdr:from>
    <xdr:to>
      <xdr:col>35</xdr:col>
      <xdr:colOff>568037</xdr:colOff>
      <xdr:row>58</xdr:row>
      <xdr:rowOff>146462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B8B928C2-401A-1AC9-DF23-D8E534C06A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447304</xdr:colOff>
      <xdr:row>59</xdr:row>
      <xdr:rowOff>78178</xdr:rowOff>
    </xdr:from>
    <xdr:to>
      <xdr:col>35</xdr:col>
      <xdr:colOff>556162</xdr:colOff>
      <xdr:row>79</xdr:row>
      <xdr:rowOff>12864</xdr:rowOff>
    </xdr:to>
    <xdr:graphicFrame macro="">
      <xdr:nvGraphicFramePr>
        <xdr:cNvPr id="13" name="Диаграмма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"/>
  <sheetViews>
    <sheetView tabSelected="1" workbookViewId="0">
      <selection activeCell="C5" sqref="C5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COMO">
          <controlPr defaultSize="0" autoLine="0" r:id="rId4">
            <anchor moveWithCells="1">
              <from>
                <xdr:col>0</xdr:col>
                <xdr:colOff>327660</xdr:colOff>
                <xdr:row>1</xdr:row>
                <xdr:rowOff>167640</xdr:rowOff>
              </from>
              <to>
                <xdr:col>3</xdr:col>
                <xdr:colOff>518160</xdr:colOff>
                <xdr:row>4</xdr:row>
                <xdr:rowOff>121920</xdr:rowOff>
              </to>
            </anchor>
          </controlPr>
        </control>
      </mc:Choice>
      <mc:Fallback>
        <control shapeId="1025" r:id="rId3" name="COCOM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E78"/>
  <sheetViews>
    <sheetView topLeftCell="E1" zoomScale="70" zoomScaleNormal="70" workbookViewId="0">
      <selection activeCell="I88" sqref="I88"/>
    </sheetView>
  </sheetViews>
  <sheetFormatPr defaultRowHeight="14.4" x14ac:dyDescent="0.3"/>
  <cols>
    <col min="1" max="1" width="19.21875" style="33" customWidth="1"/>
    <col min="6" max="6" width="13.5546875" customWidth="1"/>
    <col min="7" max="7" width="12.44140625" customWidth="1"/>
    <col min="8" max="8" width="13.109375" customWidth="1"/>
    <col min="9" max="9" width="14.88671875" customWidth="1"/>
  </cols>
  <sheetData>
    <row r="1" spans="1:31" ht="28.2" customHeight="1" x14ac:dyDescent="0.3">
      <c r="A1" s="31" t="s">
        <v>95</v>
      </c>
      <c r="B1" s="38" t="s">
        <v>86</v>
      </c>
      <c r="C1" s="38"/>
      <c r="D1" s="38" t="s">
        <v>87</v>
      </c>
      <c r="E1" s="38"/>
      <c r="F1" s="38" t="s">
        <v>88</v>
      </c>
      <c r="G1" s="38"/>
      <c r="H1" s="38" t="s">
        <v>89</v>
      </c>
      <c r="I1" s="38"/>
      <c r="K1" s="39" t="s">
        <v>90</v>
      </c>
      <c r="L1" s="39"/>
    </row>
    <row r="2" spans="1:31" ht="14.4" customHeight="1" x14ac:dyDescent="0.3">
      <c r="A2" s="27" t="s">
        <v>82</v>
      </c>
      <c r="B2" s="26" t="s">
        <v>84</v>
      </c>
      <c r="C2" s="26" t="s">
        <v>85</v>
      </c>
      <c r="D2" s="26" t="s">
        <v>84</v>
      </c>
      <c r="E2" s="26" t="s">
        <v>85</v>
      </c>
      <c r="F2" s="26" t="s">
        <v>84</v>
      </c>
      <c r="G2" s="26" t="s">
        <v>85</v>
      </c>
      <c r="H2" s="26" t="s">
        <v>84</v>
      </c>
      <c r="I2" s="26" t="s">
        <v>85</v>
      </c>
      <c r="K2" s="37" t="s">
        <v>91</v>
      </c>
      <c r="L2" s="37"/>
      <c r="M2" s="37"/>
      <c r="N2" s="37"/>
      <c r="O2" s="37"/>
      <c r="P2" s="37"/>
      <c r="Q2" s="37"/>
      <c r="R2" s="37"/>
      <c r="S2" s="37"/>
      <c r="T2" s="37"/>
    </row>
    <row r="3" spans="1:31" x14ac:dyDescent="0.3">
      <c r="A3" s="27">
        <v>10</v>
      </c>
      <c r="B3" s="26">
        <v>8.74</v>
      </c>
      <c r="C3" s="26">
        <v>26.93</v>
      </c>
      <c r="D3" s="26">
        <v>9.75</v>
      </c>
      <c r="E3" s="26">
        <v>35.9</v>
      </c>
      <c r="F3" s="26">
        <v>4.37</v>
      </c>
      <c r="G3" s="26">
        <v>1.86</v>
      </c>
      <c r="H3" s="26">
        <v>2.61</v>
      </c>
      <c r="I3" s="26">
        <v>0.3</v>
      </c>
      <c r="K3" s="37"/>
      <c r="L3" s="37"/>
      <c r="M3" s="37"/>
      <c r="N3" s="37"/>
      <c r="O3" s="37"/>
      <c r="P3" s="37"/>
      <c r="Q3" s="37"/>
      <c r="R3" s="37"/>
      <c r="S3" s="37"/>
      <c r="T3" s="37"/>
    </row>
    <row r="4" spans="1:31" x14ac:dyDescent="0.3">
      <c r="A4" s="27">
        <v>20</v>
      </c>
      <c r="B4" s="26">
        <v>11.52</v>
      </c>
      <c r="C4" s="26">
        <v>55.76</v>
      </c>
      <c r="D4" s="26">
        <v>12.85</v>
      </c>
      <c r="E4" s="26">
        <v>74.34</v>
      </c>
      <c r="F4" s="26">
        <v>5.21</v>
      </c>
      <c r="G4" s="26">
        <v>3.5</v>
      </c>
      <c r="H4" s="26">
        <v>3.12</v>
      </c>
      <c r="I4" s="26">
        <v>0.56000000000000005</v>
      </c>
      <c r="K4" s="37"/>
      <c r="L4" s="37"/>
      <c r="M4" s="37"/>
      <c r="N4" s="37"/>
      <c r="O4" s="37"/>
      <c r="P4" s="37"/>
      <c r="Q4" s="37"/>
      <c r="R4" s="37"/>
      <c r="S4" s="37"/>
      <c r="T4" s="37"/>
    </row>
    <row r="5" spans="1:31" x14ac:dyDescent="0.3">
      <c r="A5" s="27">
        <v>30</v>
      </c>
      <c r="B5" s="26">
        <v>13.55</v>
      </c>
      <c r="C5" s="26">
        <v>85.35</v>
      </c>
      <c r="D5" s="26">
        <v>15.11</v>
      </c>
      <c r="E5" s="26">
        <v>113.8</v>
      </c>
      <c r="F5" s="26">
        <v>5.78</v>
      </c>
      <c r="G5" s="26">
        <v>5.05</v>
      </c>
      <c r="H5" s="26">
        <v>3.45</v>
      </c>
      <c r="I5" s="26">
        <v>0.81</v>
      </c>
      <c r="K5" s="37"/>
      <c r="L5" s="37"/>
      <c r="M5" s="37"/>
      <c r="N5" s="37"/>
      <c r="O5" s="37"/>
      <c r="P5" s="37"/>
      <c r="Q5" s="37"/>
      <c r="R5" s="37"/>
      <c r="S5" s="37"/>
      <c r="T5" s="37"/>
    </row>
    <row r="6" spans="1:31" x14ac:dyDescent="0.3">
      <c r="A6" s="27">
        <v>40</v>
      </c>
      <c r="B6" s="26">
        <v>15.19</v>
      </c>
      <c r="C6" s="26">
        <v>115.44</v>
      </c>
      <c r="D6" s="26">
        <v>16.95</v>
      </c>
      <c r="E6" s="26">
        <v>153.93</v>
      </c>
      <c r="F6" s="26">
        <v>6.22</v>
      </c>
      <c r="G6" s="26">
        <v>6.57</v>
      </c>
      <c r="H6" s="26">
        <v>3.72</v>
      </c>
      <c r="I6" s="26">
        <v>1.05</v>
      </c>
      <c r="K6" s="40" t="s">
        <v>92</v>
      </c>
      <c r="L6" s="40"/>
    </row>
    <row r="7" spans="1:31" ht="14.4" customHeight="1" x14ac:dyDescent="0.3">
      <c r="A7" s="27">
        <v>50</v>
      </c>
      <c r="B7" s="26">
        <v>16.61</v>
      </c>
      <c r="C7" s="26">
        <v>145.93</v>
      </c>
      <c r="D7" s="26">
        <v>18.53</v>
      </c>
      <c r="E7" s="26">
        <v>194.57</v>
      </c>
      <c r="F7" s="26">
        <v>6.58</v>
      </c>
      <c r="G7" s="26">
        <v>8.0500000000000007</v>
      </c>
      <c r="H7" s="26">
        <v>3.94</v>
      </c>
      <c r="I7" s="26">
        <v>1.28</v>
      </c>
      <c r="K7" s="37" t="s">
        <v>98</v>
      </c>
      <c r="L7" s="37"/>
      <c r="M7" s="37"/>
      <c r="N7" s="37"/>
      <c r="O7" s="37"/>
      <c r="P7" s="37"/>
      <c r="Q7" s="37"/>
      <c r="R7" s="37"/>
      <c r="S7" s="37"/>
      <c r="T7" s="37"/>
      <c r="V7" s="37"/>
      <c r="W7" s="37"/>
      <c r="X7" s="37"/>
      <c r="Y7" s="37"/>
      <c r="Z7" s="37"/>
      <c r="AA7" s="37"/>
      <c r="AB7" s="37"/>
      <c r="AC7" s="37"/>
      <c r="AD7" s="37"/>
      <c r="AE7" s="37"/>
    </row>
    <row r="8" spans="1:31" x14ac:dyDescent="0.3">
      <c r="A8" s="27">
        <v>60</v>
      </c>
      <c r="B8" s="26">
        <v>17.86</v>
      </c>
      <c r="C8" s="26">
        <v>176.71</v>
      </c>
      <c r="D8" s="26">
        <v>19.920000000000002</v>
      </c>
      <c r="E8" s="26">
        <v>235.62</v>
      </c>
      <c r="F8" s="26">
        <v>6.89</v>
      </c>
      <c r="G8" s="26">
        <v>9.5</v>
      </c>
      <c r="H8" s="26">
        <v>4.12</v>
      </c>
      <c r="I8" s="26">
        <v>1.51</v>
      </c>
      <c r="K8" s="37"/>
      <c r="L8" s="37"/>
      <c r="M8" s="37"/>
      <c r="N8" s="37"/>
      <c r="O8" s="37"/>
      <c r="P8" s="37"/>
      <c r="Q8" s="37"/>
      <c r="R8" s="37"/>
      <c r="S8" s="37"/>
      <c r="T8" s="37"/>
      <c r="V8" s="37"/>
      <c r="W8" s="37"/>
      <c r="X8" s="37"/>
      <c r="Y8" s="37"/>
      <c r="Z8" s="37"/>
      <c r="AA8" s="37"/>
      <c r="AB8" s="37"/>
      <c r="AC8" s="37"/>
      <c r="AD8" s="37"/>
      <c r="AE8" s="37"/>
    </row>
    <row r="9" spans="1:31" x14ac:dyDescent="0.3">
      <c r="A9" s="27">
        <v>70</v>
      </c>
      <c r="B9" s="26">
        <v>18.989999999999998</v>
      </c>
      <c r="C9" s="26">
        <v>207.76</v>
      </c>
      <c r="D9" s="26">
        <v>21.19</v>
      </c>
      <c r="E9" s="26">
        <v>277.01</v>
      </c>
      <c r="F9" s="26">
        <v>7.17</v>
      </c>
      <c r="G9" s="26">
        <v>10.93</v>
      </c>
      <c r="H9" s="26">
        <v>4.29</v>
      </c>
      <c r="I9" s="26">
        <v>1.74</v>
      </c>
      <c r="K9" s="37"/>
      <c r="L9" s="37"/>
      <c r="M9" s="37"/>
      <c r="N9" s="37"/>
      <c r="O9" s="37"/>
      <c r="P9" s="37"/>
      <c r="Q9" s="37"/>
      <c r="R9" s="37"/>
      <c r="S9" s="37"/>
      <c r="T9" s="37"/>
      <c r="V9" s="37"/>
      <c r="W9" s="37"/>
      <c r="X9" s="37"/>
      <c r="Y9" s="37"/>
      <c r="Z9" s="37"/>
      <c r="AA9" s="37"/>
      <c r="AB9" s="37"/>
      <c r="AC9" s="37"/>
      <c r="AD9" s="37"/>
      <c r="AE9" s="37"/>
    </row>
    <row r="10" spans="1:31" ht="14.4" customHeight="1" x14ac:dyDescent="0.3">
      <c r="A10" s="27">
        <v>80</v>
      </c>
      <c r="B10" s="26">
        <v>20.03</v>
      </c>
      <c r="C10" s="26">
        <v>239.03</v>
      </c>
      <c r="D10" s="26">
        <v>22.35</v>
      </c>
      <c r="E10" s="26">
        <v>318.70999999999998</v>
      </c>
      <c r="F10" s="26">
        <v>7.42</v>
      </c>
      <c r="G10" s="26">
        <v>12.34</v>
      </c>
      <c r="H10" s="26">
        <v>4.4400000000000004</v>
      </c>
      <c r="I10" s="26">
        <v>1.97</v>
      </c>
      <c r="K10" s="35" t="s">
        <v>99</v>
      </c>
      <c r="L10" s="35"/>
      <c r="M10" s="35"/>
      <c r="N10" s="35"/>
      <c r="O10" s="35"/>
      <c r="P10" s="35"/>
      <c r="Q10" s="35"/>
      <c r="R10" s="35"/>
      <c r="S10" s="35"/>
      <c r="T10" s="35"/>
      <c r="V10" s="37"/>
      <c r="W10" s="37"/>
      <c r="X10" s="37"/>
      <c r="Y10" s="37"/>
      <c r="Z10" s="37"/>
      <c r="AA10" s="37"/>
      <c r="AB10" s="37"/>
      <c r="AC10" s="37"/>
      <c r="AD10" s="37"/>
      <c r="AE10" s="37"/>
    </row>
    <row r="11" spans="1:31" x14ac:dyDescent="0.3">
      <c r="A11" s="27">
        <v>90</v>
      </c>
      <c r="B11" s="26">
        <v>21</v>
      </c>
      <c r="C11" s="26">
        <v>270.5</v>
      </c>
      <c r="D11" s="26">
        <v>23.42</v>
      </c>
      <c r="E11" s="26">
        <v>360.67</v>
      </c>
      <c r="F11" s="26">
        <v>7.64</v>
      </c>
      <c r="G11" s="26">
        <v>13.74</v>
      </c>
      <c r="H11" s="26">
        <v>4.57</v>
      </c>
      <c r="I11" s="26">
        <v>2.19</v>
      </c>
      <c r="K11" s="35"/>
      <c r="L11" s="35"/>
      <c r="M11" s="35"/>
      <c r="N11" s="35"/>
      <c r="O11" s="35"/>
      <c r="P11" s="35"/>
      <c r="Q11" s="35"/>
      <c r="R11" s="35"/>
      <c r="S11" s="35"/>
      <c r="T11" s="35"/>
      <c r="V11" s="37"/>
      <c r="W11" s="37"/>
      <c r="X11" s="37"/>
      <c r="Y11" s="37"/>
      <c r="Z11" s="37"/>
      <c r="AA11" s="37"/>
      <c r="AB11" s="37"/>
      <c r="AC11" s="37"/>
      <c r="AD11" s="37"/>
      <c r="AE11" s="37"/>
    </row>
    <row r="12" spans="1:31" x14ac:dyDescent="0.3">
      <c r="A12" s="27">
        <v>100</v>
      </c>
      <c r="B12" s="26">
        <v>21.9</v>
      </c>
      <c r="C12" s="26">
        <v>302.14</v>
      </c>
      <c r="D12" s="26">
        <v>24.43</v>
      </c>
      <c r="E12" s="26">
        <v>402.86</v>
      </c>
      <c r="F12" s="26">
        <v>7.85</v>
      </c>
      <c r="G12" s="26">
        <v>15.12</v>
      </c>
      <c r="H12" s="26">
        <v>4.7</v>
      </c>
      <c r="I12" s="26">
        <v>2.41</v>
      </c>
      <c r="J12" t="s">
        <v>77</v>
      </c>
      <c r="K12" s="35"/>
      <c r="L12" s="35"/>
      <c r="M12" s="35"/>
      <c r="N12" s="35"/>
      <c r="O12" s="35"/>
      <c r="P12" s="35"/>
      <c r="Q12" s="35"/>
      <c r="R12" s="35"/>
      <c r="S12" s="35"/>
      <c r="T12" s="35"/>
      <c r="V12" s="37"/>
      <c r="W12" s="37"/>
      <c r="X12" s="37"/>
      <c r="Y12" s="37"/>
      <c r="Z12" s="37"/>
      <c r="AA12" s="37"/>
      <c r="AB12" s="37"/>
      <c r="AC12" s="37"/>
      <c r="AD12" s="37"/>
      <c r="AE12" s="37"/>
    </row>
    <row r="13" spans="1:31" x14ac:dyDescent="0.3">
      <c r="K13" s="35"/>
      <c r="L13" s="35"/>
      <c r="M13" s="35"/>
      <c r="N13" s="35"/>
      <c r="O13" s="35"/>
      <c r="P13" s="35"/>
      <c r="Q13" s="35"/>
      <c r="R13" s="35"/>
      <c r="S13" s="35"/>
      <c r="T13" s="35"/>
    </row>
    <row r="14" spans="1:31" ht="28.2" customHeight="1" x14ac:dyDescent="0.3">
      <c r="A14" s="32" t="s">
        <v>94</v>
      </c>
      <c r="B14" s="41" t="s">
        <v>86</v>
      </c>
      <c r="C14" s="41"/>
      <c r="D14" s="41" t="s">
        <v>87</v>
      </c>
      <c r="E14" s="41"/>
      <c r="F14" s="41" t="s">
        <v>88</v>
      </c>
      <c r="G14" s="41"/>
      <c r="H14" s="41" t="s">
        <v>89</v>
      </c>
      <c r="I14" s="41"/>
    </row>
    <row r="15" spans="1:31" x14ac:dyDescent="0.3">
      <c r="A15" s="27" t="s">
        <v>82</v>
      </c>
      <c r="B15" s="26" t="s">
        <v>84</v>
      </c>
      <c r="C15" s="26" t="s">
        <v>85</v>
      </c>
      <c r="D15" s="26" t="s">
        <v>84</v>
      </c>
      <c r="E15" s="26" t="s">
        <v>85</v>
      </c>
      <c r="F15" s="26" t="s">
        <v>84</v>
      </c>
      <c r="G15" s="26" t="s">
        <v>85</v>
      </c>
      <c r="H15" s="26" t="s">
        <v>84</v>
      </c>
      <c r="I15" s="26" t="s">
        <v>85</v>
      </c>
    </row>
    <row r="16" spans="1:31" x14ac:dyDescent="0.3">
      <c r="A16" s="27">
        <v>10</v>
      </c>
      <c r="B16" s="26">
        <v>9.06</v>
      </c>
      <c r="C16" s="26">
        <v>39.549999999999997</v>
      </c>
      <c r="D16" s="26">
        <v>9.06</v>
      </c>
      <c r="E16" s="26">
        <v>39.549999999999997</v>
      </c>
      <c r="F16" s="26">
        <v>11.57</v>
      </c>
      <c r="G16" s="26">
        <v>36.99</v>
      </c>
      <c r="H16" s="26">
        <v>10.92</v>
      </c>
      <c r="I16" s="26">
        <v>30.82</v>
      </c>
    </row>
    <row r="17" spans="1:9" x14ac:dyDescent="0.3">
      <c r="A17" s="27">
        <v>20</v>
      </c>
      <c r="B17" s="26">
        <v>11.88</v>
      </c>
      <c r="C17" s="26">
        <v>85.96</v>
      </c>
      <c r="D17" s="26">
        <v>11.88</v>
      </c>
      <c r="E17" s="26">
        <v>85.96</v>
      </c>
      <c r="F17" s="26">
        <v>14.74</v>
      </c>
      <c r="G17" s="26">
        <v>79.27</v>
      </c>
      <c r="H17" s="26">
        <v>13.91</v>
      </c>
      <c r="I17" s="26">
        <v>66.06</v>
      </c>
    </row>
    <row r="18" spans="1:9" x14ac:dyDescent="0.3">
      <c r="A18" s="27">
        <v>30</v>
      </c>
      <c r="B18" s="26">
        <v>13.93</v>
      </c>
      <c r="C18" s="26">
        <v>135.36000000000001</v>
      </c>
      <c r="D18" s="26">
        <v>13.93</v>
      </c>
      <c r="E18" s="26">
        <v>135.36000000000001</v>
      </c>
      <c r="F18" s="26">
        <v>16.98</v>
      </c>
      <c r="G18" s="26">
        <v>123.8</v>
      </c>
      <c r="H18" s="26">
        <v>16.03</v>
      </c>
      <c r="I18" s="26">
        <v>103.17</v>
      </c>
    </row>
    <row r="19" spans="1:9" x14ac:dyDescent="0.3">
      <c r="A19" s="27">
        <v>40</v>
      </c>
      <c r="B19" s="26">
        <v>15.59</v>
      </c>
      <c r="C19" s="26">
        <v>186.82</v>
      </c>
      <c r="D19" s="26">
        <v>15.59</v>
      </c>
      <c r="E19" s="26">
        <v>186.82</v>
      </c>
      <c r="F19" s="26">
        <v>18.78</v>
      </c>
      <c r="G19" s="26">
        <v>169.88</v>
      </c>
      <c r="H19" s="26">
        <v>17.72</v>
      </c>
      <c r="I19" s="26">
        <v>141.56</v>
      </c>
    </row>
    <row r="20" spans="1:9" x14ac:dyDescent="0.3">
      <c r="A20" s="27">
        <v>50</v>
      </c>
      <c r="B20" s="26">
        <v>17.02</v>
      </c>
      <c r="C20" s="26">
        <v>239.87</v>
      </c>
      <c r="D20" s="26">
        <v>17.02</v>
      </c>
      <c r="E20" s="26">
        <v>239.87</v>
      </c>
      <c r="F20" s="26">
        <v>20.3</v>
      </c>
      <c r="G20" s="26">
        <v>217.12</v>
      </c>
      <c r="H20" s="26">
        <v>19.16</v>
      </c>
      <c r="I20" s="26">
        <v>180.94</v>
      </c>
    </row>
    <row r="21" spans="1:9" x14ac:dyDescent="0.3">
      <c r="A21" s="27">
        <v>60</v>
      </c>
      <c r="B21" s="26">
        <v>18.28</v>
      </c>
      <c r="C21" s="26">
        <v>294.20999999999998</v>
      </c>
      <c r="D21" s="26">
        <v>18.28</v>
      </c>
      <c r="E21" s="26">
        <v>294.20999999999998</v>
      </c>
      <c r="F21" s="26">
        <v>21.64</v>
      </c>
      <c r="G21" s="26">
        <v>265.33</v>
      </c>
      <c r="H21" s="26">
        <v>20.420000000000002</v>
      </c>
      <c r="I21" s="26">
        <v>221.11</v>
      </c>
    </row>
    <row r="22" spans="1:9" x14ac:dyDescent="0.3">
      <c r="A22" s="27">
        <v>70</v>
      </c>
      <c r="B22" s="26">
        <v>19.420000000000002</v>
      </c>
      <c r="C22" s="26">
        <v>349.65</v>
      </c>
      <c r="D22" s="26">
        <v>19.420000000000002</v>
      </c>
      <c r="E22" s="26">
        <v>349.65</v>
      </c>
      <c r="F22" s="26">
        <v>22.84</v>
      </c>
      <c r="G22" s="26">
        <v>314.33999999999997</v>
      </c>
      <c r="H22" s="26">
        <v>21.55</v>
      </c>
      <c r="I22" s="26">
        <v>261.95</v>
      </c>
    </row>
    <row r="23" spans="1:9" x14ac:dyDescent="0.3">
      <c r="A23" s="27">
        <v>80</v>
      </c>
      <c r="B23" s="26">
        <v>20.46</v>
      </c>
      <c r="C23" s="26">
        <v>406.05</v>
      </c>
      <c r="D23" s="26">
        <v>20.46</v>
      </c>
      <c r="E23" s="26">
        <v>406.05</v>
      </c>
      <c r="F23" s="26">
        <v>23.93</v>
      </c>
      <c r="G23" s="26">
        <v>364.06</v>
      </c>
      <c r="H23" s="26">
        <v>22.58</v>
      </c>
      <c r="I23" s="26">
        <v>303.39</v>
      </c>
    </row>
    <row r="24" spans="1:9" x14ac:dyDescent="0.3">
      <c r="A24" s="27">
        <v>90</v>
      </c>
      <c r="B24" s="26">
        <v>21.43</v>
      </c>
      <c r="C24" s="26">
        <v>463.31</v>
      </c>
      <c r="D24" s="26">
        <v>21.43</v>
      </c>
      <c r="E24" s="26">
        <v>463.31</v>
      </c>
      <c r="F24" s="26">
        <v>24.94</v>
      </c>
      <c r="G24" s="26">
        <v>414.41</v>
      </c>
      <c r="H24" s="26">
        <v>23.53</v>
      </c>
      <c r="I24" s="26">
        <v>345.34</v>
      </c>
    </row>
    <row r="25" spans="1:9" x14ac:dyDescent="0.3">
      <c r="A25" s="27">
        <v>100</v>
      </c>
      <c r="B25" s="26">
        <v>22.33</v>
      </c>
      <c r="C25" s="26">
        <v>521.34</v>
      </c>
      <c r="D25" s="26">
        <v>22.33</v>
      </c>
      <c r="E25" s="26">
        <v>521.34</v>
      </c>
      <c r="F25" s="26">
        <v>25.87</v>
      </c>
      <c r="G25" s="26">
        <v>465.32</v>
      </c>
      <c r="H25" s="26">
        <v>24.42</v>
      </c>
      <c r="I25" s="26">
        <v>387.76</v>
      </c>
    </row>
    <row r="27" spans="1:9" ht="30" customHeight="1" x14ac:dyDescent="0.3">
      <c r="A27" s="34" t="s">
        <v>93</v>
      </c>
      <c r="B27" s="36" t="s">
        <v>86</v>
      </c>
      <c r="C27" s="36"/>
      <c r="D27" s="36" t="s">
        <v>87</v>
      </c>
      <c r="E27" s="36"/>
      <c r="F27" s="36" t="s">
        <v>88</v>
      </c>
      <c r="G27" s="36"/>
      <c r="H27" s="36" t="s">
        <v>89</v>
      </c>
      <c r="I27" s="36"/>
    </row>
    <row r="28" spans="1:9" x14ac:dyDescent="0.3">
      <c r="A28" s="27" t="s">
        <v>82</v>
      </c>
      <c r="B28" s="26" t="s">
        <v>84</v>
      </c>
      <c r="C28" s="26" t="s">
        <v>85</v>
      </c>
      <c r="D28" s="26" t="s">
        <v>84</v>
      </c>
      <c r="E28" s="26" t="s">
        <v>85</v>
      </c>
      <c r="F28" s="26" t="s">
        <v>84</v>
      </c>
      <c r="G28" s="26" t="s">
        <v>85</v>
      </c>
      <c r="H28" s="26" t="s">
        <v>84</v>
      </c>
      <c r="I28" s="26" t="s">
        <v>85</v>
      </c>
    </row>
    <row r="29" spans="1:9" x14ac:dyDescent="0.3">
      <c r="A29" s="27">
        <v>10</v>
      </c>
      <c r="B29" s="26">
        <v>9.1199999999999992</v>
      </c>
      <c r="C29" s="26">
        <v>57.06</v>
      </c>
      <c r="D29" s="26">
        <v>8.41</v>
      </c>
      <c r="E29" s="26">
        <v>44.38</v>
      </c>
      <c r="F29" s="26">
        <v>72.5</v>
      </c>
      <c r="G29" s="26">
        <v>3003.19</v>
      </c>
      <c r="H29" s="26">
        <v>84.96</v>
      </c>
      <c r="I29" s="26">
        <v>4767.1499999999996</v>
      </c>
    </row>
    <row r="30" spans="1:9" x14ac:dyDescent="0.3">
      <c r="A30" s="27">
        <v>20</v>
      </c>
      <c r="B30" s="26">
        <v>11.9</v>
      </c>
      <c r="C30" s="26">
        <v>131.08000000000001</v>
      </c>
      <c r="D30" s="26">
        <v>10.98</v>
      </c>
      <c r="E30" s="26">
        <v>101.95</v>
      </c>
      <c r="F30" s="26">
        <v>97.06</v>
      </c>
      <c r="G30" s="26">
        <v>7025.97</v>
      </c>
      <c r="H30" s="26">
        <v>113.74</v>
      </c>
      <c r="I30" s="26">
        <v>11152.75</v>
      </c>
    </row>
    <row r="31" spans="1:9" x14ac:dyDescent="0.3">
      <c r="A31" s="27">
        <v>30</v>
      </c>
      <c r="B31" s="26">
        <v>13.91</v>
      </c>
      <c r="C31" s="26">
        <v>213.23</v>
      </c>
      <c r="D31" s="26">
        <v>12.83</v>
      </c>
      <c r="E31" s="26">
        <v>165.85</v>
      </c>
      <c r="F31" s="26">
        <v>115.12</v>
      </c>
      <c r="G31" s="26">
        <v>11551.27</v>
      </c>
      <c r="H31" s="26">
        <v>134.9</v>
      </c>
      <c r="I31" s="26">
        <v>18336.02</v>
      </c>
    </row>
    <row r="32" spans="1:9" x14ac:dyDescent="0.3">
      <c r="A32" s="27">
        <v>40</v>
      </c>
      <c r="B32" s="26">
        <v>15.53</v>
      </c>
      <c r="C32" s="26">
        <v>301.14</v>
      </c>
      <c r="D32" s="26">
        <v>14.33</v>
      </c>
      <c r="E32" s="26">
        <v>234.22</v>
      </c>
      <c r="F32" s="26">
        <v>129.93</v>
      </c>
      <c r="G32" s="26">
        <v>16437.259999999998</v>
      </c>
      <c r="H32" s="26">
        <v>152.27000000000001</v>
      </c>
      <c r="I32" s="26">
        <v>26091.86</v>
      </c>
    </row>
    <row r="33" spans="1:9" x14ac:dyDescent="0.3">
      <c r="A33" s="27">
        <v>50</v>
      </c>
      <c r="B33" s="26">
        <v>16.920000000000002</v>
      </c>
      <c r="C33" s="26">
        <v>393.61</v>
      </c>
      <c r="D33" s="26">
        <v>15.61</v>
      </c>
      <c r="E33" s="26">
        <v>306.14</v>
      </c>
      <c r="F33" s="26">
        <v>142.72999999999999</v>
      </c>
      <c r="G33" s="26">
        <v>21610.29</v>
      </c>
      <c r="H33" s="26">
        <v>167.26</v>
      </c>
      <c r="I33" s="26">
        <v>34303.32</v>
      </c>
    </row>
    <row r="34" spans="1:9" x14ac:dyDescent="0.3">
      <c r="A34" s="27">
        <v>60</v>
      </c>
      <c r="B34" s="26">
        <v>18.149999999999999</v>
      </c>
      <c r="C34" s="26">
        <v>489.87</v>
      </c>
      <c r="D34" s="26">
        <v>16.739999999999998</v>
      </c>
      <c r="E34" s="26">
        <v>381.01</v>
      </c>
      <c r="F34" s="26">
        <v>154.11000000000001</v>
      </c>
      <c r="G34" s="26">
        <v>27024.18</v>
      </c>
      <c r="H34" s="26">
        <v>180.6</v>
      </c>
      <c r="I34" s="26">
        <v>42897.120000000003</v>
      </c>
    </row>
    <row r="35" spans="1:9" x14ac:dyDescent="0.3">
      <c r="A35" s="27">
        <v>70</v>
      </c>
      <c r="B35" s="26">
        <v>19.25</v>
      </c>
      <c r="C35" s="26">
        <v>589.41</v>
      </c>
      <c r="D35" s="26">
        <v>17.760000000000002</v>
      </c>
      <c r="E35" s="26">
        <v>458.43</v>
      </c>
      <c r="F35" s="26">
        <v>164.44</v>
      </c>
      <c r="G35" s="26">
        <v>32646.959999999999</v>
      </c>
      <c r="H35" s="26">
        <v>192.71</v>
      </c>
      <c r="I35" s="26">
        <v>51822.49</v>
      </c>
    </row>
    <row r="36" spans="1:9" x14ac:dyDescent="0.3">
      <c r="A36" s="27">
        <v>80</v>
      </c>
      <c r="B36" s="26">
        <v>20.260000000000002</v>
      </c>
      <c r="C36" s="26">
        <v>691.85</v>
      </c>
      <c r="D36" s="26">
        <v>18.7</v>
      </c>
      <c r="E36" s="26">
        <v>538.1</v>
      </c>
      <c r="F36" s="26">
        <v>173.95</v>
      </c>
      <c r="G36" s="26">
        <v>38454.97</v>
      </c>
      <c r="H36" s="26">
        <v>203.85</v>
      </c>
      <c r="I36" s="26">
        <v>61041.9</v>
      </c>
    </row>
    <row r="37" spans="1:9" x14ac:dyDescent="0.3">
      <c r="A37" s="27">
        <v>90</v>
      </c>
      <c r="B37" s="26">
        <v>21.2</v>
      </c>
      <c r="C37" s="26">
        <v>796.88</v>
      </c>
      <c r="D37" s="26">
        <v>19.559999999999999</v>
      </c>
      <c r="E37" s="26">
        <v>619.79999999999995</v>
      </c>
      <c r="F37" s="26">
        <v>182.79</v>
      </c>
      <c r="G37" s="26">
        <v>44429.93</v>
      </c>
      <c r="H37" s="26">
        <v>214.21</v>
      </c>
      <c r="I37" s="26">
        <v>70526.320000000007</v>
      </c>
    </row>
    <row r="38" spans="1:9" x14ac:dyDescent="0.3">
      <c r="A38" s="27">
        <v>100</v>
      </c>
      <c r="B38" s="26">
        <v>22.08</v>
      </c>
      <c r="C38" s="26">
        <v>904.28</v>
      </c>
      <c r="D38" s="26">
        <v>20.37</v>
      </c>
      <c r="E38" s="26">
        <v>703.33</v>
      </c>
      <c r="F38" s="26">
        <v>191.08</v>
      </c>
      <c r="G38" s="26">
        <v>50557.26</v>
      </c>
      <c r="H38" s="26">
        <v>223.92</v>
      </c>
      <c r="I38" s="26">
        <v>80252.59</v>
      </c>
    </row>
    <row r="74" spans="1:9" x14ac:dyDescent="0.3">
      <c r="B74" s="36" t="s">
        <v>86</v>
      </c>
      <c r="C74" s="36"/>
      <c r="D74" s="36" t="s">
        <v>87</v>
      </c>
      <c r="E74" s="36"/>
      <c r="F74" s="36" t="s">
        <v>88</v>
      </c>
      <c r="G74" s="36"/>
      <c r="H74" s="36" t="s">
        <v>89</v>
      </c>
      <c r="I74" s="36"/>
    </row>
    <row r="75" spans="1:9" x14ac:dyDescent="0.3">
      <c r="A75" s="33">
        <v>30</v>
      </c>
      <c r="B75" s="26" t="s">
        <v>84</v>
      </c>
      <c r="C75" s="26" t="s">
        <v>85</v>
      </c>
      <c r="D75" s="26" t="s">
        <v>84</v>
      </c>
      <c r="E75" s="26" t="s">
        <v>85</v>
      </c>
      <c r="F75" s="26" t="s">
        <v>84</v>
      </c>
      <c r="G75" s="26" t="s">
        <v>85</v>
      </c>
      <c r="H75" s="26" t="s">
        <v>84</v>
      </c>
      <c r="I75" s="26" t="s">
        <v>85</v>
      </c>
    </row>
    <row r="76" spans="1:9" x14ac:dyDescent="0.3">
      <c r="A76" s="27" t="s">
        <v>96</v>
      </c>
      <c r="B76" s="26">
        <v>13.55</v>
      </c>
      <c r="C76" s="26">
        <v>85.35</v>
      </c>
      <c r="D76" s="26">
        <v>15.11</v>
      </c>
      <c r="E76" s="26">
        <v>113.8</v>
      </c>
      <c r="F76" s="26">
        <v>5.78</v>
      </c>
      <c r="G76" s="26">
        <v>5.05</v>
      </c>
      <c r="H76" s="26">
        <v>3.45</v>
      </c>
      <c r="I76" s="26">
        <v>0.81</v>
      </c>
    </row>
    <row r="77" spans="1:9" x14ac:dyDescent="0.3">
      <c r="A77" s="27" t="s">
        <v>2</v>
      </c>
      <c r="B77" s="26">
        <v>13.93</v>
      </c>
      <c r="C77" s="26">
        <v>135.36000000000001</v>
      </c>
      <c r="D77" s="26">
        <v>13.93</v>
      </c>
      <c r="E77" s="26">
        <v>135.36000000000001</v>
      </c>
      <c r="F77" s="26">
        <v>16.98</v>
      </c>
      <c r="G77" s="26">
        <v>123.8</v>
      </c>
      <c r="H77" s="26">
        <v>16.03</v>
      </c>
      <c r="I77" s="26">
        <v>103.17</v>
      </c>
    </row>
    <row r="78" spans="1:9" x14ac:dyDescent="0.3">
      <c r="A78" s="27" t="s">
        <v>97</v>
      </c>
      <c r="B78" s="26">
        <v>13.91</v>
      </c>
      <c r="C78" s="26">
        <v>213.23</v>
      </c>
      <c r="D78" s="26">
        <v>12.83</v>
      </c>
      <c r="E78" s="26">
        <v>165.85</v>
      </c>
      <c r="F78" s="26">
        <v>115.12</v>
      </c>
      <c r="G78" s="26">
        <v>11551.27</v>
      </c>
      <c r="H78" s="26">
        <v>134.9</v>
      </c>
      <c r="I78" s="26">
        <v>18336.02</v>
      </c>
    </row>
  </sheetData>
  <mergeCells count="22">
    <mergeCell ref="B1:C1"/>
    <mergeCell ref="D1:E1"/>
    <mergeCell ref="F1:G1"/>
    <mergeCell ref="B14:C14"/>
    <mergeCell ref="D14:E14"/>
    <mergeCell ref="B74:C74"/>
    <mergeCell ref="D74:E74"/>
    <mergeCell ref="F74:G74"/>
    <mergeCell ref="H74:I74"/>
    <mergeCell ref="K2:T5"/>
    <mergeCell ref="K6:L6"/>
    <mergeCell ref="F14:G14"/>
    <mergeCell ref="H14:I14"/>
    <mergeCell ref="D27:E27"/>
    <mergeCell ref="B27:C27"/>
    <mergeCell ref="F27:G27"/>
    <mergeCell ref="K10:T13"/>
    <mergeCell ref="H27:I27"/>
    <mergeCell ref="V7:AE12"/>
    <mergeCell ref="K7:T9"/>
    <mergeCell ref="H1:I1"/>
    <mergeCell ref="K1:L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16"/>
  <sheetViews>
    <sheetView workbookViewId="0">
      <selection activeCell="F16" sqref="F16"/>
    </sheetView>
  </sheetViews>
  <sheetFormatPr defaultRowHeight="14.4" x14ac:dyDescent="0.3"/>
  <sheetData>
    <row r="1" spans="1:13" ht="15" thickBot="1" x14ac:dyDescent="0.35">
      <c r="A1">
        <v>2.4</v>
      </c>
      <c r="B1">
        <v>1.05</v>
      </c>
      <c r="C1">
        <v>2.5</v>
      </c>
      <c r="D1">
        <v>0.38</v>
      </c>
      <c r="G1" t="s">
        <v>0</v>
      </c>
      <c r="H1" t="s">
        <v>1</v>
      </c>
      <c r="I1" t="s">
        <v>2</v>
      </c>
      <c r="J1" t="s">
        <v>3</v>
      </c>
      <c r="K1" t="s">
        <v>4</v>
      </c>
      <c r="L1" t="s">
        <v>5</v>
      </c>
    </row>
    <row r="2" spans="1:13" ht="16.2" thickBot="1" x14ac:dyDescent="0.35">
      <c r="A2">
        <v>3</v>
      </c>
      <c r="B2">
        <v>1.1200000000000001</v>
      </c>
      <c r="C2">
        <v>2.5</v>
      </c>
      <c r="D2">
        <v>0.35</v>
      </c>
      <c r="F2">
        <v>1</v>
      </c>
      <c r="G2" s="1">
        <v>0.75</v>
      </c>
      <c r="H2" s="2">
        <v>0.88</v>
      </c>
      <c r="I2" s="2">
        <v>1</v>
      </c>
      <c r="J2" s="2">
        <v>1.1499999999999999</v>
      </c>
      <c r="K2" s="2">
        <v>1.4</v>
      </c>
      <c r="L2" s="2"/>
      <c r="M2" s="3"/>
    </row>
    <row r="3" spans="1:13" ht="16.2" thickBot="1" x14ac:dyDescent="0.35">
      <c r="A3">
        <v>3.6</v>
      </c>
      <c r="B3">
        <v>1.2</v>
      </c>
      <c r="C3">
        <v>2.5</v>
      </c>
      <c r="D3">
        <v>0.32</v>
      </c>
      <c r="F3">
        <v>2</v>
      </c>
      <c r="G3" s="4"/>
      <c r="H3" s="5">
        <v>0.94</v>
      </c>
      <c r="I3" s="5">
        <v>1</v>
      </c>
      <c r="J3" s="5">
        <v>1.08</v>
      </c>
      <c r="K3" s="5">
        <v>1.1599999999999999</v>
      </c>
      <c r="L3" s="5"/>
      <c r="M3" s="3"/>
    </row>
    <row r="4" spans="1:13" ht="16.2" thickBot="1" x14ac:dyDescent="0.35">
      <c r="F4">
        <v>3</v>
      </c>
      <c r="G4" s="4">
        <v>0.7</v>
      </c>
      <c r="H4" s="5">
        <v>0.85</v>
      </c>
      <c r="I4" s="5">
        <v>1</v>
      </c>
      <c r="J4" s="5">
        <v>1.1499999999999999</v>
      </c>
      <c r="K4" s="5">
        <v>1.3</v>
      </c>
      <c r="L4" s="5">
        <v>1.65</v>
      </c>
      <c r="M4" s="6"/>
    </row>
    <row r="5" spans="1:13" ht="16.2" thickBot="1" x14ac:dyDescent="0.35">
      <c r="A5">
        <v>3.2</v>
      </c>
      <c r="B5">
        <v>1.05</v>
      </c>
      <c r="C5">
        <v>2.5</v>
      </c>
      <c r="D5">
        <v>0.38</v>
      </c>
      <c r="F5">
        <v>4</v>
      </c>
      <c r="G5" s="4"/>
      <c r="H5" s="5"/>
      <c r="I5" s="5">
        <v>1</v>
      </c>
      <c r="J5" s="5">
        <v>1.1100000000000001</v>
      </c>
      <c r="K5" s="5">
        <v>1.3</v>
      </c>
      <c r="L5" s="5">
        <v>1.66</v>
      </c>
      <c r="M5" s="3"/>
    </row>
    <row r="6" spans="1:13" ht="16.2" thickBot="1" x14ac:dyDescent="0.35">
      <c r="A6">
        <v>3</v>
      </c>
      <c r="B6">
        <v>1.1200000000000001</v>
      </c>
      <c r="C6">
        <v>2.5</v>
      </c>
      <c r="D6">
        <v>0.35</v>
      </c>
      <c r="F6">
        <v>5</v>
      </c>
      <c r="G6" s="4"/>
      <c r="H6" s="5"/>
      <c r="I6" s="5">
        <v>1</v>
      </c>
      <c r="J6" s="5">
        <v>1.06</v>
      </c>
      <c r="K6" s="5">
        <v>1.21</v>
      </c>
      <c r="L6" s="5">
        <v>1.56</v>
      </c>
      <c r="M6" s="3"/>
    </row>
    <row r="7" spans="1:13" ht="16.2" thickBot="1" x14ac:dyDescent="0.35">
      <c r="A7">
        <v>2.8</v>
      </c>
      <c r="B7">
        <v>1.2</v>
      </c>
      <c r="C7">
        <v>2.5</v>
      </c>
      <c r="D7">
        <v>0.32</v>
      </c>
      <c r="F7">
        <v>6</v>
      </c>
      <c r="G7" s="4"/>
      <c r="H7" s="5">
        <v>0.87</v>
      </c>
      <c r="I7" s="5">
        <v>1</v>
      </c>
      <c r="J7" s="5">
        <v>1.1499999999999999</v>
      </c>
      <c r="K7" s="5">
        <v>1.3</v>
      </c>
      <c r="L7" s="5"/>
      <c r="M7" s="3"/>
    </row>
    <row r="8" spans="1:13" ht="16.2" thickBot="1" x14ac:dyDescent="0.35">
      <c r="F8">
        <v>7</v>
      </c>
      <c r="G8" s="4"/>
      <c r="H8" s="5">
        <v>0.87</v>
      </c>
      <c r="I8" s="5">
        <v>1</v>
      </c>
      <c r="J8" s="5">
        <v>1.07</v>
      </c>
      <c r="K8" s="5">
        <v>1.1499999999999999</v>
      </c>
      <c r="L8" s="5"/>
      <c r="M8" s="6"/>
    </row>
    <row r="9" spans="1:13" ht="16.2" thickBot="1" x14ac:dyDescent="0.35">
      <c r="F9">
        <v>8</v>
      </c>
      <c r="G9" s="4">
        <v>1.46</v>
      </c>
      <c r="H9" s="5">
        <v>1.19</v>
      </c>
      <c r="I9" s="5">
        <v>1</v>
      </c>
      <c r="J9" s="5">
        <v>0.86</v>
      </c>
      <c r="K9" s="5">
        <v>0.71</v>
      </c>
      <c r="L9" s="5"/>
      <c r="M9" s="3"/>
    </row>
    <row r="10" spans="1:13" ht="16.2" thickBot="1" x14ac:dyDescent="0.35">
      <c r="C10" t="s">
        <v>77</v>
      </c>
      <c r="F10">
        <v>9</v>
      </c>
      <c r="G10" s="4">
        <v>1.29</v>
      </c>
      <c r="H10" s="5">
        <v>1.1299999999999999</v>
      </c>
      <c r="I10" s="5">
        <v>1</v>
      </c>
      <c r="J10" s="5">
        <v>0.91</v>
      </c>
      <c r="K10" s="5">
        <v>0.82</v>
      </c>
      <c r="L10" s="5"/>
      <c r="M10" s="3"/>
    </row>
    <row r="11" spans="1:13" ht="16.2" thickBot="1" x14ac:dyDescent="0.35">
      <c r="F11">
        <v>10</v>
      </c>
      <c r="G11" s="4">
        <v>1.42</v>
      </c>
      <c r="H11" s="5">
        <v>1.17</v>
      </c>
      <c r="I11" s="5">
        <v>1</v>
      </c>
      <c r="J11" s="5">
        <v>0.86</v>
      </c>
      <c r="K11" s="5">
        <v>0.7</v>
      </c>
      <c r="L11" s="5"/>
      <c r="M11" s="3"/>
    </row>
    <row r="12" spans="1:13" ht="16.2" thickBot="1" x14ac:dyDescent="0.35">
      <c r="F12">
        <v>11</v>
      </c>
      <c r="G12" s="4">
        <v>1.21</v>
      </c>
      <c r="H12" s="5">
        <v>1.1000000000000001</v>
      </c>
      <c r="I12" s="5">
        <v>1</v>
      </c>
      <c r="J12" s="5">
        <v>0.9</v>
      </c>
      <c r="K12" s="5"/>
      <c r="L12" s="5"/>
      <c r="M12" s="3"/>
    </row>
    <row r="13" spans="1:13" ht="16.2" thickBot="1" x14ac:dyDescent="0.35">
      <c r="F13">
        <v>12</v>
      </c>
      <c r="G13" s="4">
        <v>1.1399999999999999</v>
      </c>
      <c r="H13" s="5">
        <v>1.07</v>
      </c>
      <c r="I13" s="5">
        <v>1</v>
      </c>
      <c r="J13" s="5">
        <v>0.95</v>
      </c>
      <c r="K13" s="5"/>
      <c r="L13" s="5"/>
      <c r="M13" s="6"/>
    </row>
    <row r="14" spans="1:13" ht="16.2" thickBot="1" x14ac:dyDescent="0.35">
      <c r="F14">
        <v>13</v>
      </c>
      <c r="G14" s="4">
        <v>1.24</v>
      </c>
      <c r="H14" s="5">
        <v>1.1000000000000001</v>
      </c>
      <c r="I14" s="5">
        <v>1</v>
      </c>
      <c r="J14" s="5">
        <v>0.91</v>
      </c>
      <c r="K14" s="5">
        <v>0.82</v>
      </c>
      <c r="L14" s="5"/>
      <c r="M14" s="3"/>
    </row>
    <row r="15" spans="1:13" ht="16.2" thickBot="1" x14ac:dyDescent="0.35">
      <c r="F15">
        <v>14</v>
      </c>
      <c r="G15" s="4">
        <v>1.24</v>
      </c>
      <c r="H15" s="5">
        <v>1.1000000000000001</v>
      </c>
      <c r="I15" s="5">
        <v>1</v>
      </c>
      <c r="J15" s="5">
        <v>0.91</v>
      </c>
      <c r="K15" s="5">
        <v>0.83</v>
      </c>
      <c r="L15" s="5"/>
      <c r="M15" s="3"/>
    </row>
    <row r="16" spans="1:13" ht="16.2" thickBot="1" x14ac:dyDescent="0.35">
      <c r="F16">
        <v>15</v>
      </c>
      <c r="G16" s="4">
        <v>1.23</v>
      </c>
      <c r="H16" s="5">
        <v>1.08</v>
      </c>
      <c r="I16" s="5">
        <v>1</v>
      </c>
      <c r="J16" s="5">
        <v>1.04</v>
      </c>
      <c r="K16" s="5">
        <v>1.1000000000000001</v>
      </c>
      <c r="L16" s="5"/>
      <c r="M16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K19"/>
  <sheetViews>
    <sheetView workbookViewId="0">
      <selection activeCell="B21" sqref="B21"/>
    </sheetView>
  </sheetViews>
  <sheetFormatPr defaultRowHeight="14.4" x14ac:dyDescent="0.3"/>
  <sheetData>
    <row r="1" spans="1:11" ht="28.8" customHeight="1" x14ac:dyDescent="0.3">
      <c r="A1" s="42" t="s">
        <v>6</v>
      </c>
      <c r="B1" s="43" t="s">
        <v>7</v>
      </c>
      <c r="C1" s="7"/>
      <c r="D1" s="44" t="s">
        <v>8</v>
      </c>
      <c r="E1" s="44"/>
      <c r="F1" s="44"/>
      <c r="G1" s="44"/>
      <c r="H1" s="44"/>
      <c r="I1" s="7"/>
    </row>
    <row r="2" spans="1:11" ht="41.4" x14ac:dyDescent="0.3">
      <c r="A2" s="42"/>
      <c r="B2" s="43"/>
      <c r="C2" s="8" t="s">
        <v>9</v>
      </c>
      <c r="D2" s="9" t="s">
        <v>10</v>
      </c>
      <c r="E2" s="8" t="s">
        <v>11</v>
      </c>
      <c r="F2" s="10" t="s">
        <v>12</v>
      </c>
      <c r="G2" s="10" t="s">
        <v>13</v>
      </c>
      <c r="H2" s="10" t="s">
        <v>14</v>
      </c>
      <c r="I2" s="8" t="s">
        <v>15</v>
      </c>
    </row>
    <row r="3" spans="1:11" x14ac:dyDescent="0.3">
      <c r="A3" s="11">
        <v>1</v>
      </c>
      <c r="B3" s="12" t="s">
        <v>16</v>
      </c>
      <c r="C3" s="13">
        <v>2.12</v>
      </c>
      <c r="D3" s="13">
        <v>1.62</v>
      </c>
      <c r="E3" s="13">
        <v>1.26</v>
      </c>
      <c r="F3" s="13">
        <v>1</v>
      </c>
      <c r="G3" s="14">
        <v>0.83</v>
      </c>
      <c r="H3" s="13">
        <v>0.63</v>
      </c>
      <c r="I3" s="13">
        <v>0.5</v>
      </c>
      <c r="J3" t="s">
        <v>36</v>
      </c>
      <c r="K3" s="24">
        <v>1</v>
      </c>
    </row>
    <row r="4" spans="1:11" x14ac:dyDescent="0.3">
      <c r="A4" s="11">
        <v>2</v>
      </c>
      <c r="B4" s="12" t="s">
        <v>17</v>
      </c>
      <c r="C4" s="13">
        <v>1.59</v>
      </c>
      <c r="D4" s="13">
        <v>1.33</v>
      </c>
      <c r="E4" s="13">
        <v>1.22</v>
      </c>
      <c r="F4" s="13">
        <v>1</v>
      </c>
      <c r="G4" s="14">
        <v>0.87</v>
      </c>
      <c r="H4" s="13">
        <v>0.74</v>
      </c>
      <c r="I4" s="13">
        <v>0.62</v>
      </c>
      <c r="J4" t="s">
        <v>37</v>
      </c>
      <c r="K4" s="24">
        <v>2.94</v>
      </c>
    </row>
    <row r="5" spans="1:11" x14ac:dyDescent="0.3">
      <c r="A5" s="11">
        <v>3</v>
      </c>
      <c r="B5" s="12" t="s">
        <v>18</v>
      </c>
      <c r="C5" s="13">
        <v>0.49</v>
      </c>
      <c r="D5" s="13">
        <v>0.6</v>
      </c>
      <c r="E5" s="13">
        <v>0.83</v>
      </c>
      <c r="F5" s="13">
        <v>1</v>
      </c>
      <c r="G5" s="14">
        <v>1.33</v>
      </c>
      <c r="H5" s="13">
        <v>1.91</v>
      </c>
      <c r="I5" s="13">
        <v>2.72</v>
      </c>
      <c r="J5" t="s">
        <v>38</v>
      </c>
      <c r="K5">
        <f>SUM(D13:D17)</f>
        <v>18.97</v>
      </c>
    </row>
    <row r="6" spans="1:11" x14ac:dyDescent="0.3">
      <c r="A6" s="11">
        <v>4</v>
      </c>
      <c r="B6" s="12" t="s">
        <v>19</v>
      </c>
      <c r="C6" s="13" t="s">
        <v>20</v>
      </c>
      <c r="D6" s="13" t="s">
        <v>20</v>
      </c>
      <c r="E6" s="13">
        <v>0.95</v>
      </c>
      <c r="F6" s="13">
        <v>1</v>
      </c>
      <c r="G6" s="14">
        <v>1.07</v>
      </c>
      <c r="H6" s="13">
        <v>1.1499999999999999</v>
      </c>
      <c r="I6" s="13">
        <v>1.24</v>
      </c>
      <c r="K6" s="24">
        <v>5</v>
      </c>
    </row>
    <row r="7" spans="1:11" x14ac:dyDescent="0.3">
      <c r="A7" s="11">
        <v>5</v>
      </c>
      <c r="B7" s="12" t="s">
        <v>21</v>
      </c>
      <c r="C7" s="13" t="s">
        <v>20</v>
      </c>
      <c r="D7" s="13" t="s">
        <v>20</v>
      </c>
      <c r="E7" s="13">
        <v>0.87</v>
      </c>
      <c r="F7" s="13">
        <v>1</v>
      </c>
      <c r="G7" s="14">
        <v>1.29</v>
      </c>
      <c r="H7" s="13">
        <v>1.81</v>
      </c>
      <c r="I7" s="13">
        <v>2.61</v>
      </c>
      <c r="J7" t="s">
        <v>39</v>
      </c>
      <c r="K7" s="25">
        <v>0.91</v>
      </c>
    </row>
    <row r="8" spans="1:11" x14ac:dyDescent="0.3">
      <c r="A8" s="11">
        <v>6</v>
      </c>
      <c r="B8" s="12" t="s">
        <v>22</v>
      </c>
      <c r="C8" s="13">
        <v>1.43</v>
      </c>
      <c r="D8" s="13">
        <v>1.3</v>
      </c>
      <c r="E8" s="13">
        <v>1.1000000000000001</v>
      </c>
      <c r="F8" s="13">
        <v>1</v>
      </c>
      <c r="G8" s="14">
        <v>0.87</v>
      </c>
      <c r="H8" s="13">
        <v>0.73</v>
      </c>
      <c r="I8" s="13">
        <v>0.62</v>
      </c>
      <c r="J8" t="s">
        <v>40</v>
      </c>
      <c r="K8">
        <f>K7+0.01*K5</f>
        <v>1.0996999999999999</v>
      </c>
    </row>
    <row r="9" spans="1:11" x14ac:dyDescent="0.3">
      <c r="A9" s="11">
        <v>7</v>
      </c>
      <c r="B9" s="12" t="s">
        <v>23</v>
      </c>
      <c r="C9" s="13" t="s">
        <v>20</v>
      </c>
      <c r="D9" s="13">
        <v>1.43</v>
      </c>
      <c r="E9" s="13">
        <v>1.1399999999999999</v>
      </c>
      <c r="F9" s="13">
        <v>1</v>
      </c>
      <c r="G9" s="14">
        <v>1</v>
      </c>
      <c r="H9" s="13" t="s">
        <v>20</v>
      </c>
      <c r="I9" s="13" t="s">
        <v>20</v>
      </c>
    </row>
    <row r="10" spans="1:11" x14ac:dyDescent="0.3">
      <c r="J10" t="s">
        <v>41</v>
      </c>
      <c r="K10">
        <f>K3*K4*K6^K8</f>
        <v>17.258563475447499</v>
      </c>
    </row>
    <row r="11" spans="1:11" ht="39.6" x14ac:dyDescent="0.3">
      <c r="A11" s="15" t="s">
        <v>24</v>
      </c>
      <c r="B11" s="16"/>
      <c r="C11" s="16"/>
      <c r="D11" s="45" t="s">
        <v>26</v>
      </c>
      <c r="E11" s="45"/>
      <c r="F11" s="16"/>
      <c r="G11" s="16"/>
      <c r="J11" t="s">
        <v>42</v>
      </c>
    </row>
    <row r="12" spans="1:11" ht="26.4" x14ac:dyDescent="0.3">
      <c r="A12" s="17" t="s">
        <v>25</v>
      </c>
      <c r="B12" s="18" t="s">
        <v>10</v>
      </c>
      <c r="C12" s="19" t="s">
        <v>11</v>
      </c>
      <c r="D12" s="19" t="s">
        <v>12</v>
      </c>
      <c r="E12" s="19" t="s">
        <v>27</v>
      </c>
      <c r="F12" s="19" t="s">
        <v>28</v>
      </c>
      <c r="G12" s="20" t="s">
        <v>15</v>
      </c>
    </row>
    <row r="13" spans="1:11" x14ac:dyDescent="0.3">
      <c r="A13" s="21" t="s">
        <v>29</v>
      </c>
      <c r="B13" s="22">
        <v>6.2</v>
      </c>
      <c r="C13" s="22">
        <v>4.96</v>
      </c>
      <c r="D13" s="22">
        <v>3.72</v>
      </c>
      <c r="E13" s="22">
        <v>2.48</v>
      </c>
      <c r="F13" s="22">
        <v>1.24</v>
      </c>
      <c r="G13" s="22">
        <v>0</v>
      </c>
    </row>
    <row r="14" spans="1:11" x14ac:dyDescent="0.3">
      <c r="A14" s="21" t="s">
        <v>30</v>
      </c>
      <c r="B14" s="22">
        <v>5.07</v>
      </c>
      <c r="C14" s="22">
        <v>4.05</v>
      </c>
      <c r="D14" s="22">
        <v>3.04</v>
      </c>
      <c r="E14" s="22">
        <v>2.0299999999999998</v>
      </c>
      <c r="F14" s="22">
        <v>1.01</v>
      </c>
      <c r="G14" s="22">
        <v>0</v>
      </c>
    </row>
    <row r="15" spans="1:11" x14ac:dyDescent="0.3">
      <c r="A15" s="21" t="s">
        <v>31</v>
      </c>
      <c r="B15" s="22">
        <v>7.07</v>
      </c>
      <c r="C15" s="22">
        <v>5.65</v>
      </c>
      <c r="D15" s="22">
        <v>4.24</v>
      </c>
      <c r="E15" s="22">
        <v>2.83</v>
      </c>
      <c r="F15" s="22">
        <v>1.41</v>
      </c>
      <c r="G15" s="22">
        <v>0</v>
      </c>
    </row>
    <row r="16" spans="1:11" x14ac:dyDescent="0.3">
      <c r="A16" s="21" t="s">
        <v>32</v>
      </c>
      <c r="B16" s="22">
        <v>5.48</v>
      </c>
      <c r="C16" s="22">
        <v>4.38</v>
      </c>
      <c r="D16" s="22">
        <v>3.29</v>
      </c>
      <c r="E16" s="22">
        <v>2.19</v>
      </c>
      <c r="F16" s="22">
        <v>1.1000000000000001</v>
      </c>
      <c r="G16" s="22">
        <v>0</v>
      </c>
    </row>
    <row r="17" spans="1:7" x14ac:dyDescent="0.3">
      <c r="A17" s="21" t="s">
        <v>33</v>
      </c>
      <c r="B17" s="22">
        <v>7.8</v>
      </c>
      <c r="C17" s="22">
        <v>6.24</v>
      </c>
      <c r="D17" s="22">
        <v>4.68</v>
      </c>
      <c r="E17" s="22">
        <v>3.12</v>
      </c>
      <c r="F17" s="22">
        <v>1.56</v>
      </c>
      <c r="G17" s="22">
        <v>0</v>
      </c>
    </row>
    <row r="18" spans="1:7" x14ac:dyDescent="0.3">
      <c r="B18">
        <f>SUM(B13:B17)</f>
        <v>31.62</v>
      </c>
      <c r="C18">
        <f t="shared" ref="C18:G18" si="0">SUM(C13:C17)</f>
        <v>25.28</v>
      </c>
      <c r="D18">
        <f t="shared" si="0"/>
        <v>18.97</v>
      </c>
      <c r="E18">
        <f t="shared" si="0"/>
        <v>12.649999999999999</v>
      </c>
      <c r="F18">
        <f t="shared" si="0"/>
        <v>6.32</v>
      </c>
      <c r="G18">
        <f t="shared" si="0"/>
        <v>0</v>
      </c>
    </row>
    <row r="19" spans="1:7" ht="41.4" x14ac:dyDescent="0.3">
      <c r="A19" s="23" t="s">
        <v>34</v>
      </c>
      <c r="B19" t="s">
        <v>0</v>
      </c>
      <c r="C19" t="s">
        <v>1</v>
      </c>
      <c r="D19" t="s">
        <v>2</v>
      </c>
      <c r="E19" t="s">
        <v>3</v>
      </c>
      <c r="F19" t="s">
        <v>4</v>
      </c>
      <c r="G19" t="s">
        <v>35</v>
      </c>
    </row>
  </sheetData>
  <mergeCells count="4">
    <mergeCell ref="A1:A2"/>
    <mergeCell ref="B1:B2"/>
    <mergeCell ref="D1:H1"/>
    <mergeCell ref="D11:E1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34"/>
  <sheetViews>
    <sheetView topLeftCell="C16" workbookViewId="0">
      <selection activeCell="C36" sqref="C36"/>
    </sheetView>
  </sheetViews>
  <sheetFormatPr defaultRowHeight="14.4" x14ac:dyDescent="0.3"/>
  <sheetData>
    <row r="1" spans="1:9" ht="30.6" customHeight="1" x14ac:dyDescent="0.3">
      <c r="A1" s="26"/>
      <c r="B1" s="26"/>
      <c r="C1" s="26"/>
      <c r="D1" s="27" t="s">
        <v>0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35</v>
      </c>
    </row>
    <row r="2" spans="1:9" x14ac:dyDescent="0.3">
      <c r="A2" s="26">
        <v>1</v>
      </c>
      <c r="B2" s="26" t="s">
        <v>43</v>
      </c>
      <c r="C2" s="26" t="s">
        <v>44</v>
      </c>
      <c r="D2" s="26">
        <v>1.42</v>
      </c>
      <c r="E2" s="26">
        <v>1.29</v>
      </c>
      <c r="F2" s="26">
        <v>1</v>
      </c>
      <c r="G2" s="26">
        <v>0.85</v>
      </c>
      <c r="H2" s="26">
        <v>0.71</v>
      </c>
      <c r="I2" s="26"/>
    </row>
    <row r="3" spans="1:9" x14ac:dyDescent="0.3">
      <c r="A3" s="26">
        <v>2</v>
      </c>
      <c r="B3" s="26" t="s">
        <v>45</v>
      </c>
      <c r="C3" s="26" t="s">
        <v>46</v>
      </c>
      <c r="D3" s="26">
        <v>1.22</v>
      </c>
      <c r="E3" s="26">
        <v>1.1000000000000001</v>
      </c>
      <c r="F3" s="26">
        <v>1</v>
      </c>
      <c r="G3" s="26">
        <v>0.88</v>
      </c>
      <c r="H3" s="26">
        <v>0.81</v>
      </c>
      <c r="I3" s="26"/>
    </row>
    <row r="4" spans="1:9" x14ac:dyDescent="0.3">
      <c r="A4" s="26">
        <v>3</v>
      </c>
      <c r="B4" s="26" t="s">
        <v>47</v>
      </c>
      <c r="C4" s="26" t="s">
        <v>48</v>
      </c>
      <c r="D4" s="26">
        <v>1.34</v>
      </c>
      <c r="E4" s="26">
        <v>1.1499999999999999</v>
      </c>
      <c r="F4" s="26">
        <v>1</v>
      </c>
      <c r="G4" s="26">
        <v>0.88</v>
      </c>
      <c r="H4" s="26">
        <v>0.76</v>
      </c>
      <c r="I4" s="26"/>
    </row>
    <row r="5" spans="1:9" x14ac:dyDescent="0.3">
      <c r="A5" s="26">
        <v>4</v>
      </c>
      <c r="B5" s="26" t="s">
        <v>49</v>
      </c>
      <c r="C5" s="26" t="s">
        <v>50</v>
      </c>
      <c r="D5" s="26">
        <v>1.29</v>
      </c>
      <c r="E5" s="26">
        <v>1.1200000000000001</v>
      </c>
      <c r="F5" s="26">
        <v>1</v>
      </c>
      <c r="G5" s="26">
        <v>0.9</v>
      </c>
      <c r="H5" s="26">
        <v>0.81</v>
      </c>
      <c r="I5" s="26"/>
    </row>
    <row r="6" spans="1:9" x14ac:dyDescent="0.3">
      <c r="A6" s="26">
        <v>5</v>
      </c>
      <c r="B6" s="26" t="s">
        <v>51</v>
      </c>
      <c r="C6" s="26" t="s">
        <v>52</v>
      </c>
      <c r="D6" s="26">
        <v>1.19</v>
      </c>
      <c r="E6" s="26">
        <v>1.0900000000000001</v>
      </c>
      <c r="F6" s="26">
        <v>1</v>
      </c>
      <c r="G6" s="26">
        <v>0.91</v>
      </c>
      <c r="H6" s="26">
        <v>0.85</v>
      </c>
      <c r="I6" s="26"/>
    </row>
    <row r="7" spans="1:9" x14ac:dyDescent="0.3">
      <c r="A7" s="26">
        <v>6</v>
      </c>
      <c r="B7" s="26" t="s">
        <v>53</v>
      </c>
      <c r="C7" s="26" t="s">
        <v>54</v>
      </c>
      <c r="D7" s="26">
        <v>1.2</v>
      </c>
      <c r="E7" s="26">
        <v>1.0900000000000001</v>
      </c>
      <c r="F7" s="26">
        <v>1</v>
      </c>
      <c r="G7" s="26">
        <v>0.91</v>
      </c>
      <c r="H7" s="26">
        <v>0.84</v>
      </c>
      <c r="I7" s="26"/>
    </row>
    <row r="8" spans="1:9" x14ac:dyDescent="0.3">
      <c r="A8" s="26">
        <v>7</v>
      </c>
      <c r="B8" s="26" t="s">
        <v>55</v>
      </c>
      <c r="C8" s="26" t="s">
        <v>56</v>
      </c>
      <c r="D8" s="26">
        <v>0.84</v>
      </c>
      <c r="E8" s="26">
        <v>0.92</v>
      </c>
      <c r="F8" s="26">
        <v>1</v>
      </c>
      <c r="G8" s="26">
        <v>1.1000000000000001</v>
      </c>
      <c r="H8" s="26">
        <v>1.26</v>
      </c>
      <c r="I8" s="26"/>
    </row>
    <row r="9" spans="1:9" x14ac:dyDescent="0.3">
      <c r="A9" s="26">
        <v>8</v>
      </c>
      <c r="B9" s="26" t="s">
        <v>57</v>
      </c>
      <c r="C9" s="26" t="s">
        <v>58</v>
      </c>
      <c r="D9" s="26"/>
      <c r="E9" s="26">
        <v>0.23</v>
      </c>
      <c r="F9" s="26">
        <v>1</v>
      </c>
      <c r="G9" s="26">
        <v>1.1399999999999999</v>
      </c>
      <c r="H9" s="26">
        <v>1.28</v>
      </c>
      <c r="I9" s="26"/>
    </row>
    <row r="10" spans="1:9" x14ac:dyDescent="0.3">
      <c r="A10" s="26">
        <v>9</v>
      </c>
      <c r="B10" s="26" t="s">
        <v>59</v>
      </c>
      <c r="C10" s="26" t="s">
        <v>60</v>
      </c>
      <c r="D10" s="26">
        <v>0.73</v>
      </c>
      <c r="E10" s="26">
        <v>0.87</v>
      </c>
      <c r="F10" s="26">
        <v>1</v>
      </c>
      <c r="G10" s="26">
        <v>1.17</v>
      </c>
      <c r="H10" s="26">
        <v>1.34</v>
      </c>
      <c r="I10" s="26">
        <v>1.74</v>
      </c>
    </row>
    <row r="11" spans="1:9" x14ac:dyDescent="0.3">
      <c r="A11" s="26">
        <v>10</v>
      </c>
      <c r="B11" s="26" t="s">
        <v>61</v>
      </c>
      <c r="C11" s="26" t="s">
        <v>62</v>
      </c>
      <c r="D11" s="26"/>
      <c r="E11" s="26">
        <v>0.95</v>
      </c>
      <c r="F11" s="26">
        <v>1</v>
      </c>
      <c r="G11" s="26">
        <v>1.07</v>
      </c>
      <c r="H11" s="26">
        <v>1.1499999999999999</v>
      </c>
      <c r="I11" s="26">
        <v>1.24</v>
      </c>
    </row>
    <row r="12" spans="1:9" x14ac:dyDescent="0.3">
      <c r="A12" s="26">
        <v>11</v>
      </c>
      <c r="B12" s="26" t="s">
        <v>63</v>
      </c>
      <c r="C12" s="26" t="s">
        <v>64</v>
      </c>
      <c r="D12" s="26">
        <v>0.81</v>
      </c>
      <c r="E12" s="26">
        <v>0.91</v>
      </c>
      <c r="F12" s="26">
        <v>1</v>
      </c>
      <c r="G12" s="26">
        <v>1.1100000000000001</v>
      </c>
      <c r="H12" s="26">
        <v>1.23</v>
      </c>
      <c r="I12" s="26"/>
    </row>
    <row r="13" spans="1:9" x14ac:dyDescent="0.3">
      <c r="A13" s="26">
        <v>12</v>
      </c>
      <c r="B13" s="26" t="s">
        <v>65</v>
      </c>
      <c r="C13" s="26" t="s">
        <v>66</v>
      </c>
      <c r="D13" s="26"/>
      <c r="E13" s="26"/>
      <c r="F13" s="26">
        <v>1</v>
      </c>
      <c r="G13" s="26">
        <v>1.1100000000000001</v>
      </c>
      <c r="H13" s="26">
        <v>1.29</v>
      </c>
      <c r="I13" s="26">
        <v>1.63</v>
      </c>
    </row>
    <row r="14" spans="1:9" x14ac:dyDescent="0.3">
      <c r="A14" s="26">
        <v>13</v>
      </c>
      <c r="B14" s="26" t="s">
        <v>67</v>
      </c>
      <c r="C14" s="26" t="s">
        <v>68</v>
      </c>
      <c r="D14" s="26"/>
      <c r="E14" s="26"/>
      <c r="F14" s="26">
        <v>1</v>
      </c>
      <c r="G14" s="26">
        <v>1.05</v>
      </c>
      <c r="H14" s="26">
        <v>1.17</v>
      </c>
      <c r="I14" s="26">
        <v>1.46</v>
      </c>
    </row>
    <row r="15" spans="1:9" x14ac:dyDescent="0.3">
      <c r="A15" s="26">
        <v>14</v>
      </c>
      <c r="B15" s="26" t="s">
        <v>69</v>
      </c>
      <c r="C15" s="26" t="s">
        <v>70</v>
      </c>
      <c r="D15" s="26"/>
      <c r="E15" s="26">
        <v>0.87</v>
      </c>
      <c r="F15" s="26">
        <v>1</v>
      </c>
      <c r="G15" s="26">
        <v>1.1499999999999999</v>
      </c>
      <c r="H15" s="26">
        <v>1.3</v>
      </c>
      <c r="I15" s="26"/>
    </row>
    <row r="16" spans="1:9" x14ac:dyDescent="0.3">
      <c r="A16" s="26">
        <v>15</v>
      </c>
      <c r="B16" s="26" t="s">
        <v>71</v>
      </c>
      <c r="C16" s="26" t="s">
        <v>72</v>
      </c>
      <c r="D16" s="26">
        <v>1.17</v>
      </c>
      <c r="E16" s="26">
        <v>1.0900000000000001</v>
      </c>
      <c r="F16" s="26">
        <v>1</v>
      </c>
      <c r="G16" s="26">
        <v>0.9</v>
      </c>
      <c r="H16" s="26">
        <v>0.78</v>
      </c>
      <c r="I16" s="26"/>
    </row>
    <row r="17" spans="1:10" x14ac:dyDescent="0.3">
      <c r="A17" s="26">
        <v>16</v>
      </c>
      <c r="B17" s="26" t="s">
        <v>73</v>
      </c>
      <c r="C17" s="26" t="s">
        <v>74</v>
      </c>
      <c r="D17" s="26">
        <v>1.22</v>
      </c>
      <c r="E17" s="26">
        <v>1.0900000000000001</v>
      </c>
      <c r="F17" s="26">
        <v>1</v>
      </c>
      <c r="G17" s="26">
        <v>0.93</v>
      </c>
      <c r="H17" s="26">
        <v>0.86</v>
      </c>
      <c r="I17" s="26">
        <v>0.8</v>
      </c>
    </row>
    <row r="18" spans="1:10" x14ac:dyDescent="0.3">
      <c r="A18" s="26">
        <v>17</v>
      </c>
      <c r="B18" s="26" t="s">
        <v>75</v>
      </c>
      <c r="C18" s="26" t="s">
        <v>76</v>
      </c>
      <c r="D18" s="26">
        <v>1.43</v>
      </c>
      <c r="E18" s="26">
        <v>1.1399999999999999</v>
      </c>
      <c r="F18" s="26">
        <v>1</v>
      </c>
      <c r="G18" s="26">
        <v>1</v>
      </c>
      <c r="H18" s="26">
        <v>1</v>
      </c>
      <c r="I18" s="26"/>
    </row>
    <row r="19" spans="1:10" x14ac:dyDescent="0.3">
      <c r="E19">
        <f>E2*E3*E4*E5*E7*E6*E8*E9*E10*E11*E12*E15*E16*E17*E18*F13*F14</f>
        <v>0.40721922007072653</v>
      </c>
      <c r="F19" s="28">
        <v>1</v>
      </c>
    </row>
    <row r="20" spans="1:10" ht="43.2" x14ac:dyDescent="0.3">
      <c r="B20" s="27" t="s">
        <v>0</v>
      </c>
      <c r="C20" s="27" t="s">
        <v>1</v>
      </c>
      <c r="D20" s="27" t="s">
        <v>2</v>
      </c>
      <c r="E20" s="27" t="s">
        <v>3</v>
      </c>
      <c r="F20" s="27" t="s">
        <v>4</v>
      </c>
      <c r="G20" s="27" t="s">
        <v>35</v>
      </c>
      <c r="I20" s="29" t="s">
        <v>78</v>
      </c>
      <c r="J20">
        <f>0.91+0.01*D26</f>
        <v>1.0996999999999999</v>
      </c>
    </row>
    <row r="21" spans="1:10" x14ac:dyDescent="0.3">
      <c r="A21" s="21" t="s">
        <v>29</v>
      </c>
      <c r="B21" s="22">
        <v>6.2</v>
      </c>
      <c r="C21" s="22">
        <v>4.96</v>
      </c>
      <c r="D21" s="22">
        <v>3.72</v>
      </c>
      <c r="E21" s="22">
        <v>2.48</v>
      </c>
      <c r="F21" s="22">
        <v>1.24</v>
      </c>
      <c r="G21" s="22">
        <v>0</v>
      </c>
      <c r="H21" t="s">
        <v>41</v>
      </c>
      <c r="I21">
        <f>F19*2.45*(F29)^J20</f>
        <v>48.140837564038499</v>
      </c>
    </row>
    <row r="22" spans="1:10" x14ac:dyDescent="0.3">
      <c r="A22" s="21" t="s">
        <v>30</v>
      </c>
      <c r="B22" s="22">
        <v>5.07</v>
      </c>
      <c r="C22" s="22">
        <v>4.05</v>
      </c>
      <c r="D22" s="22">
        <v>3.04</v>
      </c>
      <c r="E22" s="22">
        <v>2.0299999999999998</v>
      </c>
      <c r="F22" s="22">
        <v>1.01</v>
      </c>
      <c r="G22" s="22">
        <v>0</v>
      </c>
    </row>
    <row r="23" spans="1:10" x14ac:dyDescent="0.3">
      <c r="A23" s="21" t="s">
        <v>31</v>
      </c>
      <c r="B23" s="22">
        <v>7.07</v>
      </c>
      <c r="C23" s="22">
        <v>5.65</v>
      </c>
      <c r="D23" s="22">
        <v>4.24</v>
      </c>
      <c r="E23" s="22">
        <v>2.83</v>
      </c>
      <c r="F23" s="22">
        <v>1.41</v>
      </c>
      <c r="G23" s="22">
        <v>0</v>
      </c>
      <c r="H23" t="s">
        <v>42</v>
      </c>
      <c r="I23" s="30">
        <v>12.57</v>
      </c>
    </row>
    <row r="24" spans="1:10" x14ac:dyDescent="0.3">
      <c r="A24" s="21" t="s">
        <v>32</v>
      </c>
      <c r="B24" s="22">
        <v>5.48</v>
      </c>
      <c r="C24" s="22">
        <v>4.38</v>
      </c>
      <c r="D24" s="22">
        <v>3.29</v>
      </c>
      <c r="E24" s="22">
        <v>2.19</v>
      </c>
      <c r="F24" s="22">
        <v>1.1000000000000001</v>
      </c>
      <c r="G24" s="22">
        <v>0</v>
      </c>
    </row>
    <row r="25" spans="1:10" x14ac:dyDescent="0.3">
      <c r="A25" s="21" t="s">
        <v>33</v>
      </c>
      <c r="B25" s="22">
        <v>7.8</v>
      </c>
      <c r="C25" s="22">
        <v>6.24</v>
      </c>
      <c r="D25" s="22">
        <v>4.68</v>
      </c>
      <c r="E25" s="22">
        <v>3.12</v>
      </c>
      <c r="F25" s="22">
        <v>1.56</v>
      </c>
      <c r="G25" s="22">
        <v>0</v>
      </c>
    </row>
    <row r="26" spans="1:10" x14ac:dyDescent="0.3">
      <c r="C26" t="s">
        <v>38</v>
      </c>
      <c r="D26">
        <f>SUM(D21:D25)</f>
        <v>18.97</v>
      </c>
    </row>
    <row r="27" spans="1:10" x14ac:dyDescent="0.3">
      <c r="C27" t="s">
        <v>81</v>
      </c>
      <c r="D27">
        <f>E19/E18</f>
        <v>0.357209842167304</v>
      </c>
    </row>
    <row r="28" spans="1:10" x14ac:dyDescent="0.3">
      <c r="C28" t="s">
        <v>79</v>
      </c>
      <c r="D28">
        <f>E19</f>
        <v>0.40721922007072653</v>
      </c>
    </row>
    <row r="29" spans="1:10" x14ac:dyDescent="0.3">
      <c r="C29" t="s">
        <v>38</v>
      </c>
      <c r="D29">
        <f>D26</f>
        <v>18.97</v>
      </c>
      <c r="E29" t="s">
        <v>82</v>
      </c>
      <c r="F29">
        <v>15</v>
      </c>
    </row>
    <row r="30" spans="1:10" x14ac:dyDescent="0.3">
      <c r="C30" t="s">
        <v>40</v>
      </c>
      <c r="D30">
        <f>J20</f>
        <v>1.0996999999999999</v>
      </c>
    </row>
    <row r="31" spans="1:10" x14ac:dyDescent="0.3">
      <c r="C31" t="s">
        <v>80</v>
      </c>
      <c r="D31">
        <f>D27*2.94*F29^D30</f>
        <v>20.63565718566241</v>
      </c>
      <c r="E31" t="s">
        <v>37</v>
      </c>
      <c r="F31">
        <v>2.4500000000000002</v>
      </c>
    </row>
    <row r="32" spans="1:10" x14ac:dyDescent="0.3">
      <c r="C32" t="s">
        <v>83</v>
      </c>
      <c r="D32">
        <f>F29^D30</f>
        <v>19.64932145470959</v>
      </c>
    </row>
    <row r="34" spans="3:4" x14ac:dyDescent="0.3">
      <c r="C34" t="s">
        <v>41</v>
      </c>
      <c r="D34">
        <f>D28*F31*F29^D30</f>
        <v>19.603874326379291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Лист1</vt:lpstr>
      <vt:lpstr>исследование</vt:lpstr>
      <vt:lpstr>Лист2</vt:lpstr>
      <vt:lpstr>Лист3</vt:lpstr>
      <vt:lpstr>Лист4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2023-10-18T09:12:07Z</dcterms:modified>
</cp:coreProperties>
</file>